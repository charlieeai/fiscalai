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comments/comment24.xml" ContentType="application/vnd.openxmlformats-officedocument.spreadsheetml.comments+xml"/>
  <Override PartName="/xl/worksheets/sheet25.xml" ContentType="application/vnd.openxmlformats-officedocument.spreadsheetml.worksheet+xml"/>
  <Override PartName="/xl/comments/comment25.xml" ContentType="application/vnd.openxmlformats-officedocument.spreadsheetml.comments+xml"/>
  <Override PartName="/xl/worksheets/sheet26.xml" ContentType="application/vnd.openxmlformats-officedocument.spreadsheetml.worksheet+xml"/>
  <Override PartName="/xl/comments/comment2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0" autoFilterDateGrouping="1"/>
  </bookViews>
  <sheets>
    <sheet xmlns:r="http://schemas.openxmlformats.org/officeDocument/2006/relationships" name="HCC" sheetId="1" state="visible" r:id="rId1"/>
    <sheet xmlns:r="http://schemas.openxmlformats.org/officeDocument/2006/relationships" name="AMR" sheetId="2" state="visible" r:id="rId2"/>
    <sheet xmlns:r="http://schemas.openxmlformats.org/officeDocument/2006/relationships" name="CNR" sheetId="3" state="visible" r:id="rId3"/>
    <sheet xmlns:r="http://schemas.openxmlformats.org/officeDocument/2006/relationships" name="CTT" sheetId="4" state="visible" r:id="rId4"/>
    <sheet xmlns:r="http://schemas.openxmlformats.org/officeDocument/2006/relationships" name="AVIO" sheetId="5" state="visible" r:id="rId5"/>
    <sheet xmlns:r="http://schemas.openxmlformats.org/officeDocument/2006/relationships" name="PAR" sheetId="6" state="visible" r:id="rId6"/>
    <sheet xmlns:r="http://schemas.openxmlformats.org/officeDocument/2006/relationships" name="TOST" sheetId="7" state="visible" r:id="rId7"/>
    <sheet xmlns:r="http://schemas.openxmlformats.org/officeDocument/2006/relationships" name="WKL" sheetId="8" state="visible" r:id="rId8"/>
    <sheet xmlns:r="http://schemas.openxmlformats.org/officeDocument/2006/relationships" name="INTU" sheetId="9" state="visible" r:id="rId9"/>
    <sheet xmlns:r="http://schemas.openxmlformats.org/officeDocument/2006/relationships" name="ADBE" sheetId="10" state="visible" r:id="rId10"/>
    <sheet xmlns:r="http://schemas.openxmlformats.org/officeDocument/2006/relationships" name="AUNA" sheetId="11" state="visible" r:id="rId11"/>
    <sheet xmlns:r="http://schemas.openxmlformats.org/officeDocument/2006/relationships" name="AUNA (Dante)" sheetId="12" state="visible" r:id="rId12"/>
    <sheet xmlns:r="http://schemas.openxmlformats.org/officeDocument/2006/relationships" name="DGE" sheetId="13" state="visible" r:id="rId13"/>
    <sheet xmlns:r="http://schemas.openxmlformats.org/officeDocument/2006/relationships" name="NKE" sheetId="14" state="visible" r:id="rId14"/>
    <sheet xmlns:r="http://schemas.openxmlformats.org/officeDocument/2006/relationships" name="LULU" sheetId="15" state="visible" r:id="rId15"/>
    <sheet xmlns:r="http://schemas.openxmlformats.org/officeDocument/2006/relationships" name="ONON" sheetId="16" state="visible" r:id="rId16"/>
    <sheet xmlns:r="http://schemas.openxmlformats.org/officeDocument/2006/relationships" name="LEN" sheetId="17" state="visible" r:id="rId17"/>
    <sheet xmlns:r="http://schemas.openxmlformats.org/officeDocument/2006/relationships" name="UHR" sheetId="18" state="visible" r:id="rId18"/>
    <sheet xmlns:r="http://schemas.openxmlformats.org/officeDocument/2006/relationships" name="TAVHY" sheetId="19" state="visible" r:id="rId19"/>
    <sheet xmlns:r="http://schemas.openxmlformats.org/officeDocument/2006/relationships" name="BUR" sheetId="20" state="visible" r:id="rId20"/>
    <sheet xmlns:r="http://schemas.openxmlformats.org/officeDocument/2006/relationships" name="AML" sheetId="21" state="visible" r:id="rId21"/>
    <sheet xmlns:r="http://schemas.openxmlformats.org/officeDocument/2006/relationships" name="CSU" sheetId="22" state="visible" r:id="rId22"/>
    <sheet xmlns:r="http://schemas.openxmlformats.org/officeDocument/2006/relationships" name="PSH" sheetId="23" state="visible" r:id="rId23"/>
    <sheet xmlns:r="http://schemas.openxmlformats.org/officeDocument/2006/relationships" name="GOOG" sheetId="24" state="visible" r:id="rId24"/>
    <sheet xmlns:r="http://schemas.openxmlformats.org/officeDocument/2006/relationships" name="HIMS" sheetId="25" state="visible" r:id="rId25"/>
    <sheet xmlns:r="http://schemas.openxmlformats.org/officeDocument/2006/relationships" name="NBIS" sheetId="26" state="visible" r:id="rId2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\%"/>
  </numFmts>
  <fonts count="13">
    <font>
      <name val="Calibri"/>
      <charset val="1"/>
      <family val="2"/>
      <color theme="1"/>
      <sz val="11"/>
    </font>
    <font>
      <name val="Arial"/>
      <family val="2"/>
      <b val="1"/>
      <color rgb="FF0A4F4F"/>
      <sz val="16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A4F4F"/>
      <sz val="11"/>
    </font>
    <font>
      <name val="Arial"/>
      <family val="2"/>
      <b val="1"/>
      <color rgb="FF0A4F4F"/>
      <sz val="12"/>
    </font>
    <font>
      <name val="Arial"/>
      <family val="2"/>
      <b val="1"/>
      <color rgb="FFFFFFFF"/>
      <sz val="10"/>
    </font>
    <font>
      <name val="Arial"/>
      <family val="2"/>
      <color rgb="FF5B6770"/>
      <sz val="9"/>
    </font>
    <font>
      <name val="Arial"/>
      <family val="2"/>
      <color rgb="FF5B6770"/>
      <sz val="8"/>
    </font>
    <font>
      <name val="Arial"/>
      <family val="2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b val="1"/>
      <color rgb="FF0A4F4F"/>
      <sz val="10"/>
    </font>
  </fonts>
  <fills count="7">
    <fill>
      <patternFill/>
    </fill>
    <fill>
      <patternFill patternType="gray125"/>
    </fill>
    <fill>
      <patternFill patternType="solid">
        <fgColor rgb="FFFFF3B0"/>
        <bgColor rgb="FFFBEFD6"/>
      </patternFill>
    </fill>
    <fill>
      <patternFill patternType="solid">
        <fgColor rgb="FFE4EEEC"/>
        <bgColor rgb="FFFBEFD6"/>
      </patternFill>
    </fill>
    <fill>
      <patternFill patternType="solid">
        <fgColor rgb="FF0F6E6E"/>
        <bgColor rgb="FF008080"/>
      </patternFill>
    </fill>
    <fill>
      <patternFill patternType="solid">
        <fgColor rgb="FF0A4F4F"/>
        <bgColor rgb="FF0F6E6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3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4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5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6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7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8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9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0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1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7" authorId="1" shapeId="0">
      <text>
        <t>Omaha Inversiones:
Low leverage / no dilution-forcing maturities (Debt/EBITDA), CF predictability</t>
      </text>
    </comment>
    <comment ref="B10" authorId="1" shapeId="0">
      <text>
        <t>Omaha Inversiones:
Owner earnings, add SBC expense</t>
      </text>
    </comment>
    <comment ref="B11" authorId="1" shapeId="0">
      <text>
        <t>Omaha Inversiones:
Owner earnings, add SBC expense</t>
      </text>
    </comment>
    <comment ref="B17" authorId="1" shapeId="0">
      <text>
        <t>Omaha Inversiones:
constant currency growth</t>
      </text>
    </comment>
  </commentList>
</comments>
</file>

<file path=xl/comments/comment12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7" authorId="1" shapeId="0">
      <text>
        <t>Omaha Inversiones:
Low leverage / no dilution-forcing maturities (Debt/EBITDA), CF predictability</t>
      </text>
    </comment>
    <comment ref="B10" authorId="1" shapeId="0">
      <text>
        <t>Omaha Inversiones:
Owner earnings, add SBC expense</t>
      </text>
    </comment>
    <comment ref="B11" authorId="1" shapeId="0">
      <text>
        <t>Omaha Inversiones:
Owner earnings, add SBC expense</t>
      </text>
    </comment>
    <comment ref="B17" authorId="1" shapeId="0">
      <text>
        <t>Omaha Inversiones:
constant currency growth</t>
      </text>
    </comment>
  </commentList>
</comments>
</file>

<file path=xl/comments/comment13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4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5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6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7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8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19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0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1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2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3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4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5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comments/comment26.xml><?xml version="1.0" encoding="utf-8"?>
<comments xmlns="http://schemas.openxmlformats.org/spreadsheetml/2006/main">
  <authors>
    <author>Unknown Author</author>
    <author>Omaha Inversiones</author>
  </authors>
  <commentList>
    <comment ref="B4" authorId="0" shapeId="0">
      <text>
        <t>Sum of Points. With equal weights (100/N) and all Ratings = 1, this reaches 100.</t>
      </text>
    </comment>
    <comment ref="B8" authorId="1" shapeId="0">
      <text>
        <t>Omaha Inversiones:
Low leverage / no dilution-forcing maturities (Debt/EBITDA), CF predictability</t>
      </text>
    </comment>
    <comment ref="B11" authorId="1" shapeId="0">
      <text>
        <t>Omaha Inversiones:
Owner earnings, add SBC expense</t>
      </text>
    </comment>
    <comment ref="B12" authorId="1" shapeId="0">
      <text>
        <t>Omaha Inversiones:
Owner earnings, add SBC expense</t>
      </text>
    </comment>
    <comment ref="B18" authorId="1" shapeId="0">
      <text>
        <t>Omaha Inversiones:
constant currency growth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70" zoomScaleNormal="70" workbookViewId="0">
      <pane ySplit="6" topLeftCell="A7" activePane="bottomLeft" state="frozen"/>
      <selection pane="bottomLeft" activeCell="D4" sqref="D4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Warrior Met Coal</t>
        </is>
      </c>
    </row>
    <row r="3" ht="15.6" customHeight="1">
      <c r="A3" s="1" t="inlineStr">
        <is>
          <t>Ticker:</t>
        </is>
      </c>
      <c r="B3" s="2" t="inlineStr">
        <is>
          <t>HCC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Net debt/EBITDA -0.2x; no convertibles. Liquidity kept through the Blue Creek build.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30.5% LTM, top of the basket (AMR 10.0%, CNR 17.3%).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2</v>
      </c>
      <c r="F10" s="17">
        <f>D10*E10/4</f>
        <v/>
      </c>
      <c r="G10" s="18" t="inlineStr">
        <is>
          <t>ROIC 9.9% latest (FiscalAI) at the bottom of the cycle, during heavy Blue Creek capex.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FCF negative since 2024 (-$121M FY2024, LTM trough -$274M), improving to -$46M LTM by 2Q26.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Blue Creek is a counter-cyclical, low-cost expansion funded without equity.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Lowest cost in the basket; Blue Creek adds efficient scale.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Long-life, low-cost reserves serving Atlantic and Pacific steelmakers.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Blue Creek volumes are optionality within the industry.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Revenue LTM +37.5% as Blue Creek ramps; 3-year CAGR -9.0% through the price downturn.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CEO Scheller since 2016, mining engineer, ten years without turnover; independent chairman.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$88.07 vs Recovery 2030 IVO $158.72: 45% discount (the IVO is a 2030 recovery value).</t>
        </is>
      </c>
    </row>
  </sheetData>
  <mergeCells count="1">
    <mergeCell ref="A1:F1"/>
  </mergeCells>
  <dataValidations disablePrompts="1"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Alpha Metallurgical Resources</t>
        </is>
      </c>
    </row>
    <row r="3" ht="15.6" customHeight="1">
      <c r="A3" s="1" t="inlineStr">
        <is>
          <t>Ticker:</t>
        </is>
      </c>
      <c r="B3" s="2" t="inlineStr">
        <is>
          <t>AMR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cash; net debt/EBITDA -2.7x,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Gross margin 10.0% LTM vs a 9.6%-32.1% 3-year range: trough of the met coal cycle.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-1.7% latest (FiscalAI) at the bottom of the cycle.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FCF yield ~0% LTM; positive through the cycle on a net-cash balance sheet.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Aggressive buybacks at depressed prices funded from net cash; no value-destroying M&amp;A.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Export met coal with Kingston Wildcat lowering cost; not the low-cost producer in the basket.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Met coal demand from blast furnaces is durable for years; long-run substitution risk.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limited to the met coal cycle.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0</v>
      </c>
      <c r="F18" s="17">
        <f>D18*E18/4</f>
        <v/>
      </c>
      <c r="G18" s="20" t="inlineStr">
        <is>
          <t>Revenue 3-year CAGR -19.6%, LTM -12.9%.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Competent, shareholder-return focused.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4</v>
      </c>
      <c r="F23" s="17">
        <f>D23*E23/4</f>
        <v/>
      </c>
      <c r="G23" s="18" t="inlineStr">
        <is>
          <t>Price $168.22 vs Recovery 2030 IVO $377.13: 55% discount (the IVO is a 2030 recovery value).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Core Natural Resources</t>
        </is>
      </c>
    </row>
    <row r="3" ht="15.6" customHeight="1">
      <c r="A3" s="1" t="inlineStr">
        <is>
          <t>Ticker:</t>
        </is>
      </c>
      <c r="B3" s="2" t="inlineStr">
        <is>
          <t>CNR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debt/EBITDA ~0.0x;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Gross margin 17.3% LTM vs a 14.9%-45.0% 3-year range; mixed thermal/met portfolio.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1</v>
      </c>
      <c r="F10" s="17">
        <f>D10*E10/4</f>
        <v/>
      </c>
      <c r="G10" s="18" t="inlineStr">
        <is>
          <t>ROIC 1.6%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FCF yield 5.8% LTM; positive.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The CONSOL/Arch merger is still being integrated; shareholder returns are steady.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PA mining complex and Leer South scale; Core Marine Terminal is a real logistics asset.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Durability split: met coal durable, high-CV thermal faces long-run decline.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Terminal and thermal exports give options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Revenue 3-year CAGR 25.6% and LTM +31.5% inflated by the merger, not organic.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Competent; integration track record still being built.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$85.84 vs Recovery 2030 IVO $159.98: 46% discount (the IVO is a 2030 recovery value).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CTT Correios de Portugal</t>
        </is>
      </c>
    </row>
    <row r="3" ht="15.6" customHeight="1">
      <c r="A3" s="1" t="inlineStr">
        <is>
          <t>Ticker:</t>
        </is>
      </c>
      <c r="B3" s="2" t="inlineStr">
        <is>
          <t>CTT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2</v>
      </c>
      <c r="F8" s="17">
        <f>D8*E8/4</f>
        <v/>
      </c>
      <c r="G8" s="18" t="inlineStr">
        <is>
          <t>Net debt (equity method, ex-bank) declining; 1.8x net debt/EBITDA after 1H26 (from 2.4x) plus a healthcare liability (~€117M net of DTA).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Consolidated gross margin is not meaningful (99% on FiscalAI's definition); recurring EBIT margin 7.5% in H1 2026, in line with postal peers.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1</v>
      </c>
      <c r="F10" s="17">
        <f>D10*E10/4</f>
        <v/>
      </c>
      <c r="G10" s="18" t="inlineStr">
        <is>
          <t>ROIC 1.9% latest (FiscalAI), depressed by the bank's balance sheet.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3</v>
      </c>
      <c r="F11" s="17">
        <f>D11*E11/4</f>
        <v/>
      </c>
      <c r="G11" s="18" t="inlineStr">
        <is>
          <t>Ex-bank, E&amp;P + Mail generates steady positive operating cash flow with modest maintenance capex (~€20-21M/yr).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Buybacks below €6, the DHL Iberia JV and the Banco CTT sale process point to value creation.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Last-mile density in Portugal and growing share in Spain's cross-border e-commerce; Cacesa shows exposure to regulation.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Mail declines structurally; parcels re-accelerated (+20.7% CEP volumes in 2Q26).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3</v>
      </c>
      <c r="F17" s="17">
        <f>D17*E17/4</f>
        <v/>
      </c>
      <c r="G17" s="18" t="inlineStr">
        <is>
          <t>Banco CTT sale (NBO received) and the DHL JV are options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Organic revenue growth +5.3% in 1H26 (+6.3% in 2Q26).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New CEO Guy Pacheco was CFO since 2017: continuity with a strong record under João Bento.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beyond execution.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€6.14 vs Omaha IVO €9.40: 35%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Avio</t>
        </is>
      </c>
    </row>
    <row r="3" ht="15.6" customHeight="1">
      <c r="A3" s="1" t="inlineStr">
        <is>
          <t>Ticker:</t>
        </is>
      </c>
      <c r="B3" s="2" t="inlineStr">
        <is>
          <t>AVIO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No financial debt; net cash €535.7M at 1H26 (about €645M pro forma for Advent's €109.4M), -15.5x LTM EBITDA.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Gross margin 6.7% (pass-through-heavy contracts), low for defence/space; EBITDA margin 5.7%.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2.4% latest (FiscalAI); returns have not covered the cost of capital.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FCF positive FY2021-FY2025 (€7.6M to €123.9M) but FY2025 came from €123.4M of customer advances, not earnings.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Neutral: equity raises funded the US solid-motor plant; returns on it are not yet visible.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Europe's only large solid-motor supplier (P120C/P160C via Europropulsion), prime on Vega; missile qualification takes years.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Durable in Europe's institutional launch and defence; launch competition (reusable rockets) is the uncertainty.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4</v>
      </c>
      <c r="F17" s="17">
        <f>D17*E17/4</f>
        <v/>
      </c>
      <c r="G17" s="18" t="inlineStr">
        <is>
          <t>US defence propulsion (solid rocket motors for missiles) is a new market for the company.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3</v>
      </c>
      <c r="F18" s="17">
        <f>D18*E18/4</f>
        <v/>
      </c>
      <c r="G18" s="20" t="inlineStr">
        <is>
          <t>Revenue CAGR 19.8% over 3 years; LTM +19.6% on defence propulsion.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CEO Giulio Ranzo since 2015, Chairman separate; insider ownership not verified.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Price €29.36 vs Base IVO €25.85: above intrinsic value.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PAR Technology</t>
        </is>
      </c>
    </row>
    <row r="3" ht="15.6" customHeight="1">
      <c r="A3" s="1" t="inlineStr">
        <is>
          <t>Ticker:</t>
        </is>
      </c>
      <c r="B3" s="2" t="inlineStr">
        <is>
          <t>PAR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2</v>
      </c>
      <c r="F8" s="17">
        <f>D8*E8/4</f>
        <v/>
      </c>
      <c r="G8" s="18" t="inlineStr">
        <is>
          <t>Net cash, but all financial debt is convertible notes ($265M 4.00% 2031 at $19.02, $115M 1.00% 2030).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Gross margin 42.2% vs 32.3%-43.5% 3-year range, rising with subscription mix; below pure SaaS peers.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-5.2%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0</v>
      </c>
      <c r="F11" s="17">
        <f>D11*E11/4</f>
        <v/>
      </c>
      <c r="G11" s="18" t="inlineStr">
        <is>
          <t>Operating cash flow negative in every fiscal year on record (FY2020-FY2025).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~$710M spent on acquisitions since FY2020 with dilution and convertibles; the 2026 restructuring improved opex.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Enterprise switching costs: multi-year POS rollouts (Burger King 400+ sites a month, Papa John's through 2027).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Near-decade contracts, but concentration (McDonald's) and competition from Toast at the enterprise end.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Multi-product (Engagement + Operator cloud)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3</v>
      </c>
      <c r="F18" s="17">
        <f>D18*E18/4</f>
        <v/>
      </c>
      <c r="G18" s="20" t="inlineStr">
        <is>
          <t>Organic ARR growth 15% in FY2025; revenue LTM +18.8%.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Execution improved sharply in 2026 (opex 48% -&gt; 38% of revenue, guidance raised).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4</v>
      </c>
      <c r="F23" s="17">
        <f>D23*E23/4</f>
        <v/>
      </c>
      <c r="G23" s="18" t="inlineStr">
        <is>
          <t>Price $13.76 vs Base IVO $27.60: 50% discount (borderline; the IVO assumes an 18% adj. EBITDA margin).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Toast</t>
        </is>
      </c>
    </row>
    <row r="3" ht="15.6" customHeight="1">
      <c r="A3" s="1" t="inlineStr">
        <is>
          <t>Ticker:</t>
        </is>
      </c>
      <c r="B3" s="2" t="inlineStr">
        <is>
          <t>TOST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No financial debt; net cash $1,713M at 2Q FY2026.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Gross margin 26.7% (payments-heavy mix); low against software peers by construction.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85.8% latest per FiscalAI, inflated by a small invested-capital base; GAAP operating income $431M LTM.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3</v>
      </c>
      <c r="F11" s="17">
        <f>D11*E11/4</f>
        <v/>
      </c>
      <c r="G11" s="18" t="inlineStr">
        <is>
          <t>FCF positive in each of the last eight quarters; $576M LTM, $608M FY2025.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SBC down from $287M to $237M while recurring gross profit doubled; buybacks since FY2024; gated investment in new markets.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One system for POS, payments, payroll and ordering: replacing it mid-service is costly.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Locations 79K (FY2022) -&gt; 180K (2Q FY2026); record net adds.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3</v>
      </c>
      <c r="F17" s="17">
        <f>D17*E17/4</f>
        <v/>
      </c>
      <c r="G17" s="18" t="inlineStr">
        <is>
          <t>Enterprise, international and retail are new markets for the platform.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4</v>
      </c>
      <c r="F18" s="17">
        <f>D18*E18/4</f>
        <v/>
      </c>
      <c r="G18" s="20" t="inlineStr">
        <is>
          <t>Revenue 3-year CAGR 31.1%, LTM +23.0%.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Strong operating record; founder-led culture.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No hard evidence beyond execution; the restaurant-first focus is consistent.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$28.99 vs Base IVO $42.21: 31%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Wolters Kluwer</t>
        </is>
      </c>
    </row>
    <row r="3" ht="15.6" customHeight="1">
      <c r="A3" s="1" t="inlineStr">
        <is>
          <t>Ticker:</t>
        </is>
      </c>
      <c r="B3" s="2" t="inlineStr">
        <is>
          <t>WKL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Net debt €4,024M, 2.0x adjusted EBITDA, inside its 1.5x-2.5x policy;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74.1%, at the top of its 3-year range.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13.7% -&gt; 18.0% (FY2021-FY2025, annual report); 17.6%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4</v>
      </c>
      <c r="F11" s="17">
        <f>D11*E11/4</f>
        <v/>
      </c>
      <c r="G11" s="18" t="inlineStr">
        <is>
          <t>Adjusted FCF €1,010M (FY2021) -&gt; €1,348M (FY2025), 21%-22% of revenue, conversion 100%-112%.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€4.1B of buybacks (FY2022-FY2025) at €84-€181 a share, all above today's ~€68.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Workflow software (CCH Axcess, UpToDate) holds client files and clinical decisions: high switching costs.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AI disruption of professional information is the open question.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AI-enabled expert solutions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Organic growth 5.6%-6.2% every year FY2021-FY2025.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Competent; buybacks at high prices cost value.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€67.72 vs Base IVO €105.53: 36%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Intuit</t>
        </is>
      </c>
    </row>
    <row r="3" ht="15.6" customHeight="1">
      <c r="A3" s="1" t="inlineStr">
        <is>
          <t>Ticker:</t>
        </is>
      </c>
      <c r="B3" s="2" t="inlineStr">
        <is>
          <t>INTU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debt $1,136M, 0.17x FY2026 EBITDA;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4</v>
      </c>
      <c r="F9" s="17">
        <f>D9*E9/4</f>
        <v/>
      </c>
      <c r="G9" s="18" t="inlineStr">
        <is>
          <t>Gross margin 81.0%, top of SMB software.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19.6%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4</v>
      </c>
      <c r="F11" s="17">
        <f>D11*E11/4</f>
        <v/>
      </c>
      <c r="G11" s="18" t="inlineStr">
        <is>
          <t>OCF grew every year from $3,889M (FY2022) to $8,838M (FY2026); FCF $8,663M.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Buybacks $6.1B in FY2026 at lower prices; Credit Karma and Mailchimp M&amp;A record mixed.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QuickBooks is the customer's ledger and its accountant's file; 150,000+ accountants on the platform.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Online ecosystem ARPC +15% with paying customers +3% shows pricing power holds.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Mid-market (Intuit Enterprise Suite) and AI agents are optionality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3</v>
      </c>
      <c r="F18" s="17">
        <f>D18*E18/4</f>
        <v/>
      </c>
      <c r="G18" s="20" t="inlineStr">
        <is>
          <t>Revenue 3-year CAGR 14.3%, LTM +13.9%.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Competent; GAAP operating margin 21.9% -&gt; 27.4% (FY2023-FY2026).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$275.71 vs Base IVO $478.81: 42%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Adobe</t>
        </is>
      </c>
    </row>
    <row r="3" ht="15.6" customHeight="1">
      <c r="A3" s="1" t="inlineStr">
        <is>
          <t>Ticker:</t>
        </is>
      </c>
      <c r="B3" s="2" t="inlineStr">
        <is>
          <t>ADBE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debt $1,123M, 0.11x LTM EBITDA;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4</v>
      </c>
      <c r="F9" s="17">
        <f>D9*E9/4</f>
        <v/>
      </c>
      <c r="G9" s="18" t="inlineStr">
        <is>
          <t>Gross margin 89.3%, top of software peers.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4</v>
      </c>
      <c r="F10" s="17">
        <f>D10*E10/4</f>
        <v/>
      </c>
      <c r="G10" s="18" t="inlineStr">
        <is>
          <t>ROIC 34.7%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4</v>
      </c>
      <c r="F11" s="17">
        <f>D11*E11/4</f>
        <v/>
      </c>
      <c r="G11" s="18" t="inlineStr">
        <is>
          <t>LTM FCF $10.6B, 40.8% margin, 1.45x GAAP net income.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Shares 475M -&gt; 389M since FY2021; the $20B Figma attempt ended in a $1B fee. SBC 8.0% of revenue.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Switching costs (workflows, file formats, trained professionals), PDF standard, commercially safe Firefly.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Generative AI tools threaten the low end; durability is the open question.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AI (Firefly, GenStudio) is optionality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Revenue 3-year CAGR 10.5%, LTM +12.0%.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 operator; capital return disciplined.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$239.94 vs Base IVO $386.78: 38%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tabSelected="1" zoomScale="74" zoomScaleNormal="85" workbookViewId="0">
      <pane ySplit="5" topLeftCell="A6" activePane="bottomLeft" state="frozen"/>
      <selection pane="bottomLeft" activeCell="I8" sqref="I8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 — Christian</t>
        </is>
      </c>
    </row>
    <row r="2">
      <c r="A2" s="1" t="inlineStr">
        <is>
          <t>Company:</t>
        </is>
      </c>
      <c r="B2" s="2" t="inlineStr">
        <is>
          <t>Auna</t>
        </is>
      </c>
    </row>
    <row r="3" ht="15.6" customHeight="1">
      <c r="A3" s="1" t="inlineStr">
        <is>
          <t>Ticker:</t>
        </is>
      </c>
      <c r="B3" s="2" t="inlineStr">
        <is>
          <t>AUNA</t>
        </is>
      </c>
      <c r="E3" s="4" t="inlineStr">
        <is>
          <t>FINAL SCORE:</t>
        </is>
      </c>
      <c r="F3" s="5">
        <f>B4</f>
        <v/>
      </c>
    </row>
    <row r="4">
      <c r="A4" s="21" t="inlineStr">
        <is>
          <t>Qscore</t>
        </is>
      </c>
      <c r="B4" s="3">
        <f>+SUM(F7:F11,F13:F14,F16:F17,F19:F20,F22)</f>
        <v/>
      </c>
      <c r="E4" s="4" t="inlineStr">
        <is>
          <t>Weight sum</t>
        </is>
      </c>
      <c r="F4" s="6">
        <f>+D6+D12+D15+D18+D21</f>
        <v/>
      </c>
    </row>
    <row r="5" ht="25.8" customHeight="1">
      <c r="A5" s="7" t="inlineStr">
        <is>
          <t>#</t>
        </is>
      </c>
      <c r="B5" s="8" t="inlineStr">
        <is>
          <t>Criteria</t>
        </is>
      </c>
      <c r="C5" s="8" t="inlineStr">
        <is>
          <t>How to score (0 | 2 | 4)</t>
        </is>
      </c>
      <c r="D5" s="7" t="inlineStr">
        <is>
          <t>Weight (%)</t>
        </is>
      </c>
      <c r="E5" s="7" t="inlineStr">
        <is>
          <t>Rating 0–4</t>
        </is>
      </c>
      <c r="F5" s="7" t="inlineStr">
        <is>
          <t>Points</t>
        </is>
      </c>
      <c r="G5" s="7" t="inlineStr">
        <is>
          <t>Reasons</t>
        </is>
      </c>
    </row>
    <row r="6" ht="14.55" customHeight="1">
      <c r="A6" s="9" t="inlineStr">
        <is>
          <t>STRENGTH</t>
        </is>
      </c>
      <c r="B6" s="9" t="n"/>
      <c r="C6" s="9" t="n"/>
      <c r="D6" s="10" t="n">
        <v>15</v>
      </c>
      <c r="E6" s="11">
        <f>+SUM(E7:E11)</f>
        <v/>
      </c>
      <c r="F6" s="12">
        <f>+SUM(F7:F11)</f>
        <v/>
      </c>
      <c r="G6" s="9" t="n"/>
    </row>
    <row r="7" outlineLevel="1" ht="50.4" customHeight="1">
      <c r="A7" s="13" t="n">
        <v>1</v>
      </c>
      <c r="B7" s="14" t="inlineStr">
        <is>
          <t>Financial resilience</t>
        </is>
      </c>
      <c r="C7" s="15" t="inlineStr">
        <is>
          <t>Liquidity stressed | In line with peers | Net cash, healthy ratios</t>
        </is>
      </c>
      <c r="D7" s="6">
        <f>+$D$6/COUNTA($A$7:$A$11)</f>
        <v/>
      </c>
      <c r="E7" s="16" t="n">
        <v>1</v>
      </c>
      <c r="F7" s="17">
        <f>D7*E7/4</f>
        <v/>
      </c>
      <c r="G7" s="25" t="inlineStr">
        <is>
          <t>Net debt/EBITDA 3.7x LTM after the Nov-2025 refinancing (8.75% notes 2032 + MXN term loan 2030); interest cover ~1.2x. Heredia's ~$177M sponsor loan (Jun-2027) is an off-balance-sheet change-of-control risk.</t>
        </is>
      </c>
    </row>
    <row r="8" outlineLevel="1" ht="22.8" customHeight="1">
      <c r="A8" s="19" t="n">
        <v>2</v>
      </c>
      <c r="B8" s="14" t="inlineStr">
        <is>
          <t>Gross margin</t>
        </is>
      </c>
      <c r="C8" s="15" t="inlineStr">
        <is>
          <t>Below peers, falling | In line, stable | Top of peers, rising</t>
        </is>
      </c>
      <c r="D8" s="6">
        <f>+$D$6/COUNTA($A$7:$A$11)</f>
        <v/>
      </c>
      <c r="E8" s="16" t="n">
        <v>2</v>
      </c>
      <c r="F8" s="17">
        <f>D8*E8/4</f>
        <v/>
      </c>
      <c r="G8" s="25" t="inlineStr">
        <is>
          <t>Gross margin 36.9% LTM vs a 36.9%-39.3% 3-year range: at the low end, in line with LatAm hospital peers.</t>
        </is>
      </c>
    </row>
    <row r="9" outlineLevel="1" ht="22.8" customHeight="1">
      <c r="A9" s="13" t="n">
        <v>3</v>
      </c>
      <c r="B9" s="14" t="inlineStr">
        <is>
          <t>Returns on capital (ROIC/ROCE)</t>
        </is>
      </c>
      <c r="C9" s="15" t="inlineStr">
        <is>
          <t>Below req. return | Around req., stable | Well above req., rising</t>
        </is>
      </c>
      <c r="D9" s="6">
        <f>+$D$6/COUNTA($A$7:$A$11)</f>
        <v/>
      </c>
      <c r="E9" s="16" t="n">
        <v>1</v>
      </c>
      <c r="F9" s="17">
        <f>D9*E9/4</f>
        <v/>
      </c>
      <c r="G9" s="25" t="inlineStr">
        <is>
          <t>ROIC 3.9% latest (FiscalAI), below a ~9% cost of debt; Mexico (Grupo OCA, US$677M) earns ~7% after tax.</t>
        </is>
      </c>
    </row>
    <row r="10" outlineLevel="1" ht="22.8" customHeight="1">
      <c r="A10" s="13" t="n">
        <v>4</v>
      </c>
      <c r="B10" s="14" t="inlineStr">
        <is>
          <t>Free cash flow</t>
        </is>
      </c>
      <c r="C10" s="15" t="inlineStr">
        <is>
          <t>Cash burn | Moderate conversion | Strong, growing FCF</t>
        </is>
      </c>
      <c r="D10" s="6">
        <f>+$D$6/COUNTA($A$7:$A$11)</f>
        <v/>
      </c>
      <c r="E10" s="16" t="n">
        <v>3</v>
      </c>
      <c r="F10" s="17">
        <f>D10*E10/4</f>
        <v/>
      </c>
      <c r="G10" s="25" t="inlineStr">
        <is>
          <t>FCF positive every year since 2023, ~$232M LTM; negative cash conversion cycle (Oncosalud collects before it pays).</t>
        </is>
      </c>
    </row>
    <row r="11" outlineLevel="1" ht="22.8" customHeight="1">
      <c r="A11" s="13" t="n">
        <v>5</v>
      </c>
      <c r="B11" s="14" t="inlineStr">
        <is>
          <t>Capital Allocation</t>
        </is>
      </c>
      <c r="C11" s="15" t="inlineStr">
        <is>
          <t>Destroys value | Neutral / mixed | Clear value creator</t>
        </is>
      </c>
      <c r="D11" s="6">
        <f>+$D$6/COUNTA($A$7:$A$11)</f>
        <v/>
      </c>
      <c r="E11" s="16" t="n">
        <v>2</v>
      </c>
      <c r="F11" s="17">
        <f>D11*E11/4</f>
        <v/>
      </c>
      <c r="G11" s="25" t="inlineStr">
        <is>
          <t>Colombia (IMAT) earns ~30% cash on cost; Mexico (OCA) below the cost of debt. Mixed record.</t>
        </is>
      </c>
    </row>
    <row r="12" ht="14.55" customHeight="1">
      <c r="A12" s="9" t="inlineStr">
        <is>
          <t>MOAT</t>
        </is>
      </c>
      <c r="B12" s="9" t="n"/>
      <c r="C12" s="22" t="n"/>
      <c r="D12" s="10" t="n">
        <v>25</v>
      </c>
      <c r="E12" s="11">
        <f>+SUM(E13:E14)</f>
        <v/>
      </c>
      <c r="F12" s="12">
        <f>+SUM(F13:F14)</f>
        <v/>
      </c>
      <c r="G12" s="24" t="n"/>
    </row>
    <row r="13" outlineLevel="1" ht="20.4" customHeight="1">
      <c r="A13" s="13" t="n">
        <v>6</v>
      </c>
      <c r="B13" s="14" t="inlineStr">
        <is>
          <t>Strength</t>
        </is>
      </c>
      <c r="C13" s="15" t="inlineStr">
        <is>
          <t>Weak | Uncertain | Strong</t>
        </is>
      </c>
      <c r="D13" s="6">
        <f>+$D$12/COUNTA($A$13:$A$14)</f>
        <v/>
      </c>
      <c r="E13" s="16" t="n">
        <v>3</v>
      </c>
      <c r="F13" s="17">
        <f>D13*E13/4</f>
        <v/>
      </c>
      <c r="G13" s="25" t="inlineStr">
        <is>
          <t>Oncosalud's switching costs (oncology plans tie medical history and treatment) and a dense integrated network in Peru.</t>
        </is>
      </c>
    </row>
    <row r="14" outlineLevel="1" ht="20.4" customHeight="1">
      <c r="A14" s="13" t="n">
        <v>7</v>
      </c>
      <c r="B14" s="14" t="inlineStr">
        <is>
          <t>Durability</t>
        </is>
      </c>
      <c r="C14" s="15" t="inlineStr">
        <is>
          <t>Eroding | Uncertain | Durable</t>
        </is>
      </c>
      <c r="D14" s="6">
        <f>+$D$12/COUNTA($A$13:$A$14)</f>
        <v/>
      </c>
      <c r="E14" s="16" t="n">
        <v>3</v>
      </c>
      <c r="F14" s="17">
        <f>D14*E14/4</f>
        <v/>
      </c>
      <c r="G14" s="25" t="inlineStr">
        <is>
          <t>Oncosalud memberships 920k -&gt; 1,472k since FY2021 and the oncology MLR falling to ~50%: the moat is holding.</t>
        </is>
      </c>
    </row>
    <row r="15" ht="14.55" customHeight="1">
      <c r="A15" s="9" t="inlineStr">
        <is>
          <t>POTENTIAL</t>
        </is>
      </c>
      <c r="B15" s="9" t="n"/>
      <c r="C15" s="22" t="n"/>
      <c r="D15" s="10" t="n">
        <v>15</v>
      </c>
      <c r="E15" s="11">
        <f>+SUM(E16:E17)</f>
        <v/>
      </c>
      <c r="F15" s="12">
        <f>+SUM(F16:F17)</f>
        <v/>
      </c>
      <c r="G15" s="24" t="n"/>
    </row>
    <row r="16" outlineLevel="1" ht="20.4" customHeight="1">
      <c r="A16" s="13" t="n">
        <v>8</v>
      </c>
      <c r="B16" s="14" t="inlineStr">
        <is>
          <t>Optionality</t>
        </is>
      </c>
      <c r="C16" s="15" t="inlineStr">
        <is>
          <t>None | Within industry | New industry</t>
        </is>
      </c>
      <c r="D16" s="6">
        <f>+$D$15/COUNTA($A$16:$A$17)</f>
        <v/>
      </c>
      <c r="E16" s="16" t="n">
        <v>3</v>
      </c>
      <c r="F16" s="17">
        <f>D16*E16/4</f>
        <v/>
      </c>
      <c r="G16" s="25" t="inlineStr">
        <is>
          <t>Mexico expansion (~US$500M) and the Torre Trecca EsSalud PPP are options within the industry, sized to move EBITDA.</t>
        </is>
      </c>
    </row>
    <row r="17" outlineLevel="1" ht="20.4" customHeight="1">
      <c r="A17" s="13" t="n">
        <v>9</v>
      </c>
      <c r="B17" s="14" t="inlineStr">
        <is>
          <t>Organic growth</t>
        </is>
      </c>
      <c r="C17" s="15" t="inlineStr">
        <is>
          <t>Declining | 2–3x industry | 15%+ sustainable</t>
        </is>
      </c>
      <c r="D17" s="6">
        <f>+$D$15/COUNTA($A$16:$A$17)</f>
        <v/>
      </c>
      <c r="E17" s="16" t="n">
        <v>3</v>
      </c>
      <c r="F17" s="17">
        <f>D17*E17/4</f>
        <v/>
      </c>
      <c r="G17" s="25" t="inlineStr">
        <is>
          <t>Local-currency growth: Peru +8%, Colombia +13%, Mexico +4% in 2Q26; group revenue +15.5% LTM in USD.</t>
        </is>
      </c>
    </row>
    <row r="18" ht="14.55" customHeight="1">
      <c r="A18" s="9" t="inlineStr">
        <is>
          <t>CULTURE</t>
        </is>
      </c>
      <c r="B18" s="9" t="n"/>
      <c r="C18" s="22" t="n"/>
      <c r="D18" s="10" t="n">
        <v>25</v>
      </c>
      <c r="E18" s="11">
        <f>+SUM(E19:E20)</f>
        <v/>
      </c>
      <c r="F18" s="12">
        <f>+SUM(F19:F20)</f>
        <v/>
      </c>
      <c r="G18" s="24" t="n"/>
    </row>
    <row r="19" outlineLevel="1" ht="20.4" customHeight="1">
      <c r="A19" s="13" t="n">
        <v>10</v>
      </c>
      <c r="B19" s="14" t="inlineStr">
        <is>
          <t>Leadership</t>
        </is>
      </c>
      <c r="C19" s="15" t="inlineStr">
        <is>
          <t>Misaligned | Competent | Owner-operator</t>
        </is>
      </c>
      <c r="D19" s="6">
        <f>+$D$18/COUNTA($A$19:$A$20)</f>
        <v/>
      </c>
      <c r="E19" s="16" t="n">
        <v>2</v>
      </c>
      <c r="F19" s="17">
        <f>D19*E19/4</f>
        <v/>
      </c>
      <c r="G19" s="25" t="inlineStr">
        <is>
          <t>Enfoca (Suso Zamora) controls 68% of the vote; founder Pinillos still on the board. Competent, with sponsor-level leverage.</t>
        </is>
      </c>
    </row>
    <row r="20" outlineLevel="1" ht="20.4" customHeight="1">
      <c r="A20" s="13" t="n">
        <v>11</v>
      </c>
      <c r="B20" s="14" t="inlineStr">
        <is>
          <t>Culture</t>
        </is>
      </c>
      <c r="C20" s="15" t="inlineStr">
        <is>
          <t>Weak | Average | Strong, mission-driven</t>
        </is>
      </c>
      <c r="D20" s="6">
        <f>+$D$18/COUNTA($A$19:$A$20)</f>
        <v/>
      </c>
      <c r="E20" s="16" t="n">
        <v>2</v>
      </c>
      <c r="F20" s="17">
        <f>D20*E20/4</f>
        <v/>
      </c>
      <c r="G20" s="25" t="inlineStr">
        <is>
          <t>No hard evidence beyond operating execution; payor discipline in Colombia suggests a cash-first culture.</t>
        </is>
      </c>
    </row>
    <row r="21" ht="14.55" customHeight="1">
      <c r="A21" s="9" t="inlineStr">
        <is>
          <t>MARGIN OF SAFETY</t>
        </is>
      </c>
      <c r="B21" s="9" t="n"/>
      <c r="C21" s="22" t="n"/>
      <c r="D21" s="10" t="n">
        <v>20</v>
      </c>
      <c r="E21" s="11">
        <f>+E22</f>
        <v/>
      </c>
      <c r="F21" s="12">
        <f>+F22</f>
        <v/>
      </c>
      <c r="G21" s="24" t="n"/>
    </row>
    <row r="22" outlineLevel="1" ht="14.55" customHeight="1">
      <c r="A22" s="13" t="n">
        <v>12</v>
      </c>
      <c r="B22" s="14" t="inlineStr">
        <is>
          <t>Margin of safety</t>
        </is>
      </c>
      <c r="C22" s="15" t="inlineStr">
        <is>
          <t>Expensive | Fair | Deep discount</t>
        </is>
      </c>
      <c r="D22" s="6">
        <f>+$D$21/COUNTA($A$22)</f>
        <v/>
      </c>
      <c r="E22" s="16" t="n">
        <v>4</v>
      </c>
      <c r="F22" s="17">
        <f>D22*E22/4</f>
        <v/>
      </c>
      <c r="G22" s="25" t="inlineStr">
        <is>
          <t>Price $4.98 vs Omaha IVO $13.05: 62% discount.</t>
        </is>
      </c>
    </row>
  </sheetData>
  <mergeCells count="1">
    <mergeCell ref="A1:F1"/>
  </mergeCells>
  <dataValidations disablePrompts="1" count="1">
    <dataValidation sqref="E6:E22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 — Dante</t>
        </is>
      </c>
    </row>
    <row r="2">
      <c r="A2" s="1" t="inlineStr">
        <is>
          <t>Company:</t>
        </is>
      </c>
      <c r="B2" s="2" t="inlineStr">
        <is>
          <t>Auna</t>
        </is>
      </c>
    </row>
    <row r="3" ht="15.6" customHeight="1">
      <c r="A3" s="1" t="inlineStr">
        <is>
          <t>Ticker:</t>
        </is>
      </c>
      <c r="B3" s="2" t="inlineStr">
        <is>
          <t>AUNA</t>
        </is>
      </c>
      <c r="E3" s="4" t="inlineStr">
        <is>
          <t>FINAL SCORE:</t>
        </is>
      </c>
      <c r="F3" s="5">
        <f>B4</f>
        <v/>
      </c>
    </row>
    <row r="4">
      <c r="A4" s="21" t="inlineStr">
        <is>
          <t>Qscore</t>
        </is>
      </c>
      <c r="B4" s="3">
        <f>+SUM(F7:F11,F13:F14,F16:F17,F19:F20,F22)</f>
        <v/>
      </c>
      <c r="E4" s="4" t="inlineStr">
        <is>
          <t>Weight sum</t>
        </is>
      </c>
      <c r="F4" s="6">
        <f>+D6+D12+D15+D18+D21</f>
        <v/>
      </c>
    </row>
    <row r="5" ht="25.8" customHeight="1">
      <c r="A5" s="7" t="inlineStr">
        <is>
          <t>#</t>
        </is>
      </c>
      <c r="B5" s="8" t="inlineStr">
        <is>
          <t>Criteria</t>
        </is>
      </c>
      <c r="C5" s="8" t="inlineStr">
        <is>
          <t>How to score (0 | 2 | 4)</t>
        </is>
      </c>
      <c r="D5" s="7" t="inlineStr">
        <is>
          <t>Weight (%)</t>
        </is>
      </c>
      <c r="E5" s="7" t="inlineStr">
        <is>
          <t>Rating 0–4</t>
        </is>
      </c>
      <c r="F5" s="7" t="inlineStr">
        <is>
          <t>Points</t>
        </is>
      </c>
      <c r="G5" s="7" t="inlineStr">
        <is>
          <t>Reasons</t>
        </is>
      </c>
    </row>
    <row r="6" ht="14.55" customHeight="1">
      <c r="A6" s="9" t="inlineStr">
        <is>
          <t>STRENGTH</t>
        </is>
      </c>
      <c r="B6" s="9" t="n"/>
      <c r="C6" s="9" t="n"/>
      <c r="D6" s="10" t="n">
        <v>15</v>
      </c>
      <c r="E6" s="11">
        <f>+SUM(E7:E11)</f>
        <v/>
      </c>
      <c r="F6" s="12">
        <f>+SUM(F7:F11)</f>
        <v/>
      </c>
      <c r="G6" s="9" t="n"/>
    </row>
    <row r="7" outlineLevel="1" ht="50.4" customHeight="1">
      <c r="A7" s="13" t="n">
        <v>1</v>
      </c>
      <c r="B7" s="14" t="inlineStr">
        <is>
          <t>Financial resilience</t>
        </is>
      </c>
      <c r="C7" s="15" t="inlineStr">
        <is>
          <t>Liquidity stressed | In line with peers | Net cash, healthy ratios</t>
        </is>
      </c>
      <c r="D7" s="6">
        <f>+$D$6/COUNTA($A$7:$A$11)</f>
        <v/>
      </c>
      <c r="E7" s="16" t="n">
        <v>0</v>
      </c>
      <c r="F7" s="17">
        <f>D7*E7/4</f>
        <v/>
      </c>
      <c r="G7" s="25" t="inlineStr">
        <is>
          <t>Net debt/EBITDA 3.7x LTM after the Nov-2025 refinancing (8.75% notes 2032 + MXN term loan 2030); interest cover ~1.2x. Heredia's ~$177M sponsor loan (Jun-2027) is an off-balance-sheet change-of-control risk.</t>
        </is>
      </c>
    </row>
    <row r="8" outlineLevel="1" ht="22.8" customHeight="1">
      <c r="A8" s="19" t="n">
        <v>2</v>
      </c>
      <c r="B8" s="14" t="inlineStr">
        <is>
          <t>Gross margin</t>
        </is>
      </c>
      <c r="C8" s="15" t="inlineStr">
        <is>
          <t>Below peers, falling | In line, stable | Top of peers, rising</t>
        </is>
      </c>
      <c r="D8" s="6">
        <f>+$D$6/COUNTA($A$7:$A$11)</f>
        <v/>
      </c>
      <c r="E8" s="16" t="n">
        <v>2</v>
      </c>
      <c r="F8" s="17">
        <f>D8*E8/4</f>
        <v/>
      </c>
      <c r="G8" s="25" t="inlineStr">
        <is>
          <t>Gross margin 36.9% LTM vs a 36.9%-39.3% 3-year range: at the low end, in line with LatAm hospital peers.</t>
        </is>
      </c>
    </row>
    <row r="9" outlineLevel="1" ht="22.8" customHeight="1">
      <c r="A9" s="13" t="n">
        <v>3</v>
      </c>
      <c r="B9" s="14" t="inlineStr">
        <is>
          <t>Returns on capital (ROIC/ROCE)</t>
        </is>
      </c>
      <c r="C9" s="15" t="inlineStr">
        <is>
          <t>Below req. return | Around req., stable | Well above req., rising</t>
        </is>
      </c>
      <c r="D9" s="6">
        <f>+$D$6/COUNTA($A$7:$A$11)</f>
        <v/>
      </c>
      <c r="E9" s="16" t="n">
        <v>1</v>
      </c>
      <c r="F9" s="17">
        <f>D9*E9/4</f>
        <v/>
      </c>
      <c r="G9" s="25" t="inlineStr">
        <is>
          <t>ROIC 3.9% latest (FiscalAI), below a ~9% cost of debt; Mexico (Grupo OCA, US$677M) earns ~7% after tax.</t>
        </is>
      </c>
    </row>
    <row r="10" outlineLevel="1" ht="22.8" customHeight="1">
      <c r="A10" s="13" t="n">
        <v>4</v>
      </c>
      <c r="B10" s="14" t="inlineStr">
        <is>
          <t>Free cash flow</t>
        </is>
      </c>
      <c r="C10" s="15" t="inlineStr">
        <is>
          <t>Cash burn | Moderate conversion | Strong, growing FCF</t>
        </is>
      </c>
      <c r="D10" s="6">
        <f>+$D$6/COUNTA($A$7:$A$11)</f>
        <v/>
      </c>
      <c r="E10" s="16" t="n">
        <v>2</v>
      </c>
      <c r="F10" s="17">
        <f>D10*E10/4</f>
        <v/>
      </c>
      <c r="G10" s="25" t="inlineStr">
        <is>
          <t>FCF positive but most of that is to serve debt; negative cash conversion cycle (Oncosalud collects before it pays).</t>
        </is>
      </c>
    </row>
    <row r="11" outlineLevel="1" ht="22.8" customHeight="1">
      <c r="A11" s="13" t="n">
        <v>5</v>
      </c>
      <c r="B11" s="14" t="inlineStr">
        <is>
          <t>Capital Allocation</t>
        </is>
      </c>
      <c r="C11" s="15" t="inlineStr">
        <is>
          <t>Destroys value | Neutral / mixed | Clear value creator</t>
        </is>
      </c>
      <c r="D11" s="6">
        <f>+$D$6/COUNTA($A$7:$A$11)</f>
        <v/>
      </c>
      <c r="E11" s="16" t="n">
        <v>2</v>
      </c>
      <c r="F11" s="17">
        <f>D11*E11/4</f>
        <v/>
      </c>
      <c r="G11" s="25" t="inlineStr">
        <is>
          <t>Colombia (IMAT) earns ~30% cash on cost; Mexico (OCA) below the cost of debt. Mixed record.</t>
        </is>
      </c>
    </row>
    <row r="12" ht="14.55" customHeight="1">
      <c r="A12" s="9" t="inlineStr">
        <is>
          <t>MOAT</t>
        </is>
      </c>
      <c r="B12" s="9" t="n"/>
      <c r="C12" s="22" t="n"/>
      <c r="D12" s="10" t="n">
        <v>25</v>
      </c>
      <c r="E12" s="11">
        <f>+SUM(E13:E14)</f>
        <v/>
      </c>
      <c r="F12" s="12">
        <f>+SUM(F13:F14)</f>
        <v/>
      </c>
      <c r="G12" s="24" t="n"/>
    </row>
    <row r="13" outlineLevel="1" ht="20.4" customHeight="1">
      <c r="A13" s="13" t="n">
        <v>6</v>
      </c>
      <c r="B13" s="14" t="inlineStr">
        <is>
          <t>Strength</t>
        </is>
      </c>
      <c r="C13" s="15" t="inlineStr">
        <is>
          <t>Weak | Uncertain | Strong</t>
        </is>
      </c>
      <c r="D13" s="6">
        <f>+$D$12/COUNTA($A$13:$A$14)</f>
        <v/>
      </c>
      <c r="E13" s="16" t="n">
        <v>3</v>
      </c>
      <c r="F13" s="17">
        <f>D13*E13/4</f>
        <v/>
      </c>
      <c r="G13" s="25" t="inlineStr">
        <is>
          <t>Oncosalud's switching costs (oncology plans tie medical history and treatment) and a dense integrated network in Peru.</t>
        </is>
      </c>
    </row>
    <row r="14" outlineLevel="1" ht="20.4" customHeight="1">
      <c r="A14" s="13" t="n">
        <v>7</v>
      </c>
      <c r="B14" s="14" t="inlineStr">
        <is>
          <t>Durability</t>
        </is>
      </c>
      <c r="C14" s="15" t="inlineStr">
        <is>
          <t>Eroding | Uncertain | Durable</t>
        </is>
      </c>
      <c r="D14" s="6">
        <f>+$D$12/COUNTA($A$13:$A$14)</f>
        <v/>
      </c>
      <c r="E14" s="16" t="n">
        <v>3</v>
      </c>
      <c r="F14" s="17">
        <f>D14*E14/4</f>
        <v/>
      </c>
      <c r="G14" s="25" t="inlineStr">
        <is>
          <t>Oncosalud memberships 920k -&gt; 1,472k since FY2021 and the oncology MLR falling to ~50%: the moat is holding.</t>
        </is>
      </c>
    </row>
    <row r="15" ht="14.55" customHeight="1">
      <c r="A15" s="9" t="inlineStr">
        <is>
          <t>POTENTIAL</t>
        </is>
      </c>
      <c r="B15" s="9" t="n"/>
      <c r="C15" s="22" t="n"/>
      <c r="D15" s="10" t="n">
        <v>15</v>
      </c>
      <c r="E15" s="11">
        <f>+SUM(E16:E17)</f>
        <v/>
      </c>
      <c r="F15" s="12">
        <f>+SUM(F16:F17)</f>
        <v/>
      </c>
      <c r="G15" s="24" t="n"/>
    </row>
    <row r="16" outlineLevel="1" ht="20.4" customHeight="1">
      <c r="A16" s="13" t="n">
        <v>8</v>
      </c>
      <c r="B16" s="14" t="inlineStr">
        <is>
          <t>Optionality</t>
        </is>
      </c>
      <c r="C16" s="15" t="inlineStr">
        <is>
          <t>None | Within industry | New industry</t>
        </is>
      </c>
      <c r="D16" s="6">
        <f>+$D$15/COUNTA($A$16:$A$17)</f>
        <v/>
      </c>
      <c r="E16" s="16" t="n">
        <v>3</v>
      </c>
      <c r="F16" s="17">
        <f>D16*E16/4</f>
        <v/>
      </c>
      <c r="G16" s="25" t="inlineStr">
        <is>
          <t>Mexico expansion (~US$500M) and the Torre Trecca EsSalud PPP are options within the industry, sized to move EBITDA.</t>
        </is>
      </c>
    </row>
    <row r="17" outlineLevel="1" ht="20.4" customHeight="1">
      <c r="A17" s="13" t="n">
        <v>9</v>
      </c>
      <c r="B17" s="14" t="inlineStr">
        <is>
          <t>Organic growth</t>
        </is>
      </c>
      <c r="C17" s="15" t="inlineStr">
        <is>
          <t>Declining | 2–3x industry | 15%+ sustainable</t>
        </is>
      </c>
      <c r="D17" s="6">
        <f>+$D$15/COUNTA($A$16:$A$17)</f>
        <v/>
      </c>
      <c r="E17" s="16" t="n">
        <v>3</v>
      </c>
      <c r="F17" s="17">
        <f>D17*E17/4</f>
        <v/>
      </c>
      <c r="G17" s="25" t="inlineStr">
        <is>
          <t>Local-currency growth: Peru +8%, Colombia +13%, Mexico +4% in 2Q26; group revenue +15.5% LTM in USD.</t>
        </is>
      </c>
    </row>
    <row r="18" ht="14.55" customHeight="1">
      <c r="A18" s="9" t="inlineStr">
        <is>
          <t>CULTURE</t>
        </is>
      </c>
      <c r="B18" s="9" t="n"/>
      <c r="C18" s="22" t="n"/>
      <c r="D18" s="10" t="n">
        <v>25</v>
      </c>
      <c r="E18" s="11">
        <f>+SUM(E19:E20)</f>
        <v/>
      </c>
      <c r="F18" s="12">
        <f>+SUM(F19:F20)</f>
        <v/>
      </c>
      <c r="G18" s="24" t="n"/>
    </row>
    <row r="19" outlineLevel="1" ht="20.4" customHeight="1">
      <c r="A19" s="13" t="n">
        <v>10</v>
      </c>
      <c r="B19" s="14" t="inlineStr">
        <is>
          <t>Leadership</t>
        </is>
      </c>
      <c r="C19" s="15" t="inlineStr">
        <is>
          <t>Misaligned | Competent | Owner-operator</t>
        </is>
      </c>
      <c r="D19" s="6">
        <f>+$D$18/COUNTA($A$19:$A$20)</f>
        <v/>
      </c>
      <c r="E19" s="16" t="n">
        <v>2</v>
      </c>
      <c r="F19" s="17">
        <f>D19*E19/4</f>
        <v/>
      </c>
      <c r="G19" s="25" t="inlineStr">
        <is>
          <t>Enfoca (Suso Zamora) controls 68% of the vote; founder Pinillos still on the board. Competent, with sponsor-level leverage.</t>
        </is>
      </c>
    </row>
    <row r="20" outlineLevel="1" ht="20.4" customHeight="1">
      <c r="A20" s="13" t="n">
        <v>11</v>
      </c>
      <c r="B20" s="14" t="inlineStr">
        <is>
          <t>Culture</t>
        </is>
      </c>
      <c r="C20" s="15" t="inlineStr">
        <is>
          <t>Weak | Average | Strong, mission-driven</t>
        </is>
      </c>
      <c r="D20" s="6">
        <f>+$D$18/COUNTA($A$19:$A$20)</f>
        <v/>
      </c>
      <c r="E20" s="16" t="n">
        <v>2</v>
      </c>
      <c r="F20" s="17">
        <f>D20*E20/4</f>
        <v/>
      </c>
      <c r="G20" s="25" t="inlineStr">
        <is>
          <t>No hard evidence beyond operating execution; payor discipline in Colombia suggests a cash-first culture. Glassdoor 3.9</t>
        </is>
      </c>
    </row>
    <row r="21" ht="14.55" customHeight="1">
      <c r="A21" s="9" t="inlineStr">
        <is>
          <t>MARGIN OF SAFETY</t>
        </is>
      </c>
      <c r="B21" s="9" t="n"/>
      <c r="C21" s="22" t="n"/>
      <c r="D21" s="10" t="n">
        <v>20</v>
      </c>
      <c r="E21" s="11">
        <f>+E22</f>
        <v/>
      </c>
      <c r="F21" s="12">
        <f>+F22</f>
        <v/>
      </c>
      <c r="G21" s="24" t="n"/>
    </row>
    <row r="22" outlineLevel="1" ht="14.55" customHeight="1">
      <c r="A22" s="13" t="n">
        <v>12</v>
      </c>
      <c r="B22" s="14" t="inlineStr">
        <is>
          <t>Margin of safety</t>
        </is>
      </c>
      <c r="C22" s="15" t="inlineStr">
        <is>
          <t>Expensive | Fair | Deep discount</t>
        </is>
      </c>
      <c r="D22" s="6">
        <f>+$D$21/COUNTA($A$22)</f>
        <v/>
      </c>
      <c r="E22" s="16" t="n">
        <v>0</v>
      </c>
      <c r="F22" s="17">
        <f>D22*E22/4</f>
        <v/>
      </c>
      <c r="G22" s="25" t="inlineStr">
        <is>
          <t>-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Diageo</t>
        </is>
      </c>
    </row>
    <row r="3" ht="15.6" customHeight="1">
      <c r="A3" s="1" t="inlineStr">
        <is>
          <t>Ticker:</t>
        </is>
      </c>
      <c r="B3" s="2" t="inlineStr">
        <is>
          <t>DGE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1</v>
      </c>
      <c r="F8" s="17">
        <f>D8*E8/4</f>
        <v/>
      </c>
      <c r="G8" s="18" t="inlineStr">
        <is>
          <t>Net debt/EBITDA 3.55x; leverage rose from $16.6B to $20.0B net debt as earnings fell. No convertibles.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59.5% held despite tariff and mix headwinds (Accelerate saved ~$180M in supply).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1</v>
      </c>
      <c r="F10" s="17">
        <f>D10*E10/4</f>
        <v/>
      </c>
      <c r="G10" s="18" t="inlineStr">
        <is>
          <t>ROIC 6.3% in FY2026 (from 12.8% in FY2023): impairments and debt-funded capital.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FCF $3.2B, 16.3% of revenue, below the 20-24% of FY2017-FY2021.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~$7.1B of buybacks in FY2018-FY2020 re-levered the balance sheet before the downturn; buybacks paused FY2025-26.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Portfolio of global brands (Johnnie Walker, Guinness, Don Julio) with distribution scale.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Losing share in US tequila (-21%) and Chinese baijiu; Guinness and Africa strong.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within the industry only (RTD, India).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Organic net sales -2.0% in FY2026, volume -0.4%; North America -8.4%.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Leadership turnover after Menezes (2023); new CEO still proving the plan.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$85.6 vs IVO $150.4 (Sendrea, external writeup): 43%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Nike</t>
        </is>
      </c>
    </row>
    <row r="3" ht="15.6" customHeight="1">
      <c r="A3" s="1" t="inlineStr">
        <is>
          <t>Ticker:</t>
        </is>
      </c>
      <c r="B3" s="2" t="inlineStr">
        <is>
          <t>NKE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Net debt $1.36B (debt $8.0B vs cash $6.6B), 0.38x LTM EBITDA.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Gross margin 42.9%, at the bottom of its 3-year range; tariffs and markdowns.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16.5%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14 years of positive FCF, but SBC rose to 19%-25% of FCF; FCF margin 4.7% latest.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Buybacks continued while the DTC strategy damaged wholesale relationships; now being repaired.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The brand is the moat, built on football and basketball since the 1980s.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Strong in the US; the aspirational status has eroded in China.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within the industry only.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Revenue 3-year CAGR -3.2%, LTM +0.2%.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CEO Elliott Hill (since 2024), a Nike lifer, is repairing wholesale relationships.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Strong sports culture; turnaround under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4</v>
      </c>
      <c r="F23" s="17">
        <f>D23*E23/4</f>
        <v/>
      </c>
      <c r="G23" s="18" t="inlineStr">
        <is>
          <t>Price $35.40 vs IVO $97.00 (TSOH, external valuation): 64% discount; depends on the external case.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Lululemon Athletica</t>
        </is>
      </c>
    </row>
    <row r="3" ht="15.6" customHeight="1">
      <c r="A3" s="1" t="inlineStr">
        <is>
          <t>Ticker:</t>
        </is>
      </c>
      <c r="B3" s="2" t="inlineStr">
        <is>
          <t>LULU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No financial debt; cash $1,390M, net debt/EBITDA -0.55x.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56.1% vs 56.1%-59.2% 3-year range: high, at the bottom of its own range.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4</v>
      </c>
      <c r="F10" s="17">
        <f>D10*E10/4</f>
        <v/>
      </c>
      <c r="G10" s="18" t="inlineStr">
        <is>
          <t>ROIC 25.9% latest (FiscalAI); 34%-47% FY2023-FY2025.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3</v>
      </c>
      <c r="F11" s="17">
        <f>D11*E11/4</f>
        <v/>
      </c>
      <c r="G11" s="18" t="inlineStr">
        <is>
          <t>FCF positive every year; $1,354M LTM, swings with inventory and taxes.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Buybacks continued while Americas slowed; no value-destroying acquisition in the period reviewed.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Brand-only moat carrying premium full-price pricing for a decade.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1</v>
      </c>
      <c r="F15" s="17">
        <f>D15*E15/4</f>
        <v/>
      </c>
      <c r="G15" s="18" t="inlineStr">
        <is>
          <t>Americas comps negative for seven quarters: the brand moat is being tested.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Men's and international expansion,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Revenue LTM +1.7%; growth now comes from China and Rest of World only.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New CEO Heidi O'Neill (ex-Nike) started 8 Sep 2026; no plan yet.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 while leadership changes.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$96.19 vs Base IVO $150.67: 36%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On Holding</t>
        </is>
      </c>
    </row>
    <row r="3" ht="15.6" customHeight="1">
      <c r="A3" s="1" t="inlineStr">
        <is>
          <t>Ticker:</t>
        </is>
      </c>
      <c r="B3" s="2" t="inlineStr">
        <is>
          <t>ONON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No financial debt; cash and short-term investments CHF 1,284M.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4</v>
      </c>
      <c r="F9" s="17">
        <f>D9*E9/4</f>
        <v/>
      </c>
      <c r="G9" s="18" t="inlineStr">
        <is>
          <t>Gross margin 56.0% (FY2022) -&gt; 62.8% (FY2025) -&gt; 65.4% (2Q FY2026), rising through tariffs.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4</v>
      </c>
      <c r="F10" s="17">
        <f>D10*E10/4</f>
        <v/>
      </c>
      <c r="G10" s="18" t="inlineStr">
        <is>
          <t>ROIC 36.1%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3</v>
      </c>
      <c r="F11" s="17">
        <f>D11*E11/4</f>
        <v/>
      </c>
      <c r="G11" s="18" t="inlineStr">
        <is>
          <t>FCF positive and asset-light (CHF 437.9M LTM, 13.6% of sales); FY2022 inventory build was negative.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Conservative: no acquisitions, no debt; first buyback started.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Pricing power: ASP from ~$145 to over $170 since the IPO with DTC growing 34% cc.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Young brand; durability untested through a downturn.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Apparel and new price tiers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4</v>
      </c>
      <c r="F18" s="17">
        <f>D18*E18/4</f>
        <v/>
      </c>
      <c r="G18" s="20" t="inlineStr">
        <is>
          <t>Sales 35%+ CAGR; 3-year CAGR 42.2%, LTM +26.3%.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Founders still involved; execution record strong.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Founder-led, product-centred culture.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$29.61 vs Base IVO $43.64: 32%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Lennar</t>
        </is>
      </c>
    </row>
    <row r="3" ht="15.6" customHeight="1">
      <c r="A3" s="1" t="inlineStr">
        <is>
          <t>Ticker:</t>
        </is>
      </c>
      <c r="B3" s="2" t="inlineStr">
        <is>
          <t>LEN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Consolidated net debt/EBITDA 2.09x; Net Homebuilding Debt to Total Capital 12.7% at 3Q26.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HB gross margin 27.5% FY2022 -&gt; 17.7% FY2025 -&gt; 16.4% LTM (-1,110bps): bottom of peers.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ROIC 23.0% latest (FiscalAI) after the asset-light Millrose spin.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Operating cash flow negative in five of the last six quarters (-$501M total).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Share count -7% YoY at depressed prices, but $3.3B of returns funded from the balance sheet, not operations.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Scale as the #2 builder lowers cost; it does not protect price.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Asset-light land model is durable; margin has not held through the downturn.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within the industry only.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Orders -9.2% YoY in Q3 FY2026; revenue LTM -8.0%.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Volume-over-margin strategy kept deliveries up at the cost of 1,110bps of HB gross margin.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$81.59 vs Base IVO $118.73: 31%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Swatch Group</t>
        </is>
      </c>
    </row>
    <row r="3" ht="15.6" customHeight="1">
      <c r="A3" s="1" t="inlineStr">
        <is>
          <t>Ticker:</t>
        </is>
      </c>
      <c r="B3" s="2" t="inlineStr">
        <is>
          <t>UHR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liquidity CHF 1,125M; equity ratio 85.3%.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81.4%, bottom of its 3-year range (81.4%-85.1%).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0.2%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FCF yield ~0%; inventory build absorbs operating cash; high dividends paid through weak years.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Inventory piled up and dividends kept high in bad years.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Brands across every price point (Omega, Breguet, Longines, Tissot) and the Swiss industrial base.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Brands durable; mass-market watches eroding.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Optionality within the industry only.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Net sales -1.3% at constant FX in FY2025; 3-year CAGR -0.8%.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0</v>
      </c>
      <c r="F20" s="17">
        <f>D20*E20/4</f>
        <v/>
      </c>
      <c r="G20" s="18" t="inlineStr">
        <is>
          <t>Nick Hayek: poor investor relations, board of insiders, combative with analysts.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Strong engineering culture, closed governance.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1</v>
      </c>
      <c r="F23" s="17">
        <f>D23*E23/4</f>
        <v/>
      </c>
      <c r="G23" s="18" t="inlineStr">
        <is>
          <t>Price CHF 187.95 vs Base IVO CHF 221.09: 15%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TAV Havalimanlari</t>
        </is>
      </c>
    </row>
    <row r="3" ht="15.6" customHeight="1">
      <c r="A3" s="1" t="inlineStr">
        <is>
          <t>Ticker:</t>
        </is>
      </c>
      <c r="B3" s="2" t="inlineStr">
        <is>
          <t>TAVHY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2</v>
      </c>
      <c r="F8" s="17">
        <f>D8*E8/4</f>
        <v/>
      </c>
      <c r="G8" s="18" t="inlineStr">
        <is>
          <t>Net debt €1,833M, 3.23x LTM EBITDA (2.88x ex-leases); met its FY2025 deleveraging target, rose again in 1H26.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Not comparable for an airport operator; EBITDA margin ~30%.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2</v>
      </c>
      <c r="F10" s="17">
        <f>D10*E10/4</f>
        <v/>
      </c>
      <c r="G10" s="18" t="inlineStr">
        <is>
          <t>Returns depend on concession economics; ROIC not available in FiscalAI.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Operating cash flow positive every year; FCF after capex €144M, -€148M, €60M, €133M (FY2022-FY2025).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2</v>
      </c>
      <c r="F12" s="17">
        <f>D12*E12/4</f>
        <v/>
      </c>
      <c r="G12" s="18" t="inlineStr">
        <is>
          <t>Aggressive Antalya (€7.25bn) and Ankara bids; leverage target met.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4</v>
      </c>
      <c r="F14" s="17">
        <f>D14*E14/4</f>
        <v/>
      </c>
      <c r="G14" s="18" t="inlineStr">
        <is>
          <t>Each airport is a local monopoly for the life of its concession.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Concessions run to 2041-2051; Almaty owned.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New concessions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Revenue 3-year CAGR 20.1%, LTM +6.6%; 2026 passenger guidance cut.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Competent operators; guidance cut in July 2026 after aggressive bids.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$21.82 vs Base IVO $36.38: 40% discount.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C10" sqref="C10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Burford Capital</t>
        </is>
      </c>
    </row>
    <row r="3" ht="15.6" customHeight="1">
      <c r="A3" s="1" t="inlineStr">
        <is>
          <t>Ticker:</t>
        </is>
      </c>
      <c r="B3" s="2" t="inlineStr">
        <is>
          <t>BUR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0</v>
      </c>
      <c r="F8" s="17">
        <f>D8*E8/4</f>
        <v/>
      </c>
      <c r="G8" s="18" t="inlineStr">
        <is>
          <t>Debt $2,403M vs cash and securities $733M: net debt $1,670M at 2Q26; debt/total capital 74.6%, debt/TBV 3.5x.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2</v>
      </c>
      <c r="F9" s="17">
        <f>D9*E9/4</f>
        <v/>
      </c>
      <c r="G9" s="18" t="inlineStr">
        <is>
          <t>Not meaningful for a capital provider; no gross margin to compare.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1</v>
      </c>
      <c r="F10" s="17">
        <f>D10*E10/4</f>
        <v/>
      </c>
      <c r="G10" s="18" t="inlineStr">
        <is>
          <t>ROIC on concluded cases is high (cumulative), but ROIC on the group balance sheet is not reported by FiscalAI and earnings swing with YPF marks.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0</v>
      </c>
      <c r="F11" s="17">
        <f>D11*E11/4</f>
        <v/>
      </c>
      <c r="G11" s="18" t="inlineStr">
        <is>
          <t>Operating cash flow negative in four of the last five fiscal years (FY2021 -$585M ... FY2025 -$29M).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Good cash outcome on YPF secondary sales (&gt;$100M profit on ~$100M), but one case was allowed to reach 40%+ of assets.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Largest legal-finance balance sheet: $5.7B group-wide portfolio, $3.9B cumulative realizations; can write $50M+ tickets.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Origination advantage persists; durability tied to court outcomes and to funding cost.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Asset management and new litigation categories, within the industry.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New commitments are lumpy; revenue -70.8% LTM on YPF fair-value changes.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Co-founders Bogart and Molot have run it since 2009: aligned and experienced, with concentration risk in judgement.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Price $3.92 vs Base IVO $3.80: above intrinsic value.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Aston Martin Lagonda</t>
        </is>
      </c>
    </row>
    <row r="3" ht="15.6" customHeight="1">
      <c r="A3" s="1" t="inlineStr">
        <is>
          <t>Ticker:</t>
        </is>
      </c>
      <c r="B3" s="2" t="inlineStr">
        <is>
          <t>AML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 ht="14.55" customHeight="1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0</v>
      </c>
      <c r="F8" s="17">
        <f>D8*E8/4</f>
        <v/>
      </c>
      <c r="G8" s="18" t="inlineStr">
        <is>
          <t>Net debt £1,544.7M at 30 Jun 2026; net debt/EBITDA 8.9x. Liquidity depends on repeated equity raises and refinancing.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Core ASP fell 5% in H1 2026 to £182k on dealer support to clear aged stock; gross margin well below Ferrari's.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-8.4% latest (FiscalAI). Capital has not earned its cost.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0</v>
      </c>
      <c r="F11" s="17">
        <f>D11*E11/4</f>
        <v/>
      </c>
      <c r="G11" s="18" t="inlineStr">
        <is>
          <t>Company-defined FCF negative every year: -£299M FY2022, -£360M FY2023, -£392M FY2024, -£410M FY2025, -£198M H1 2026.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0</v>
      </c>
      <c r="F12" s="17">
        <f>D12*E12/4</f>
        <v/>
      </c>
      <c r="G12" s="18" t="inlineStr">
        <is>
          <t>Debt-funded product cycles followed by dilutive raises; the per-share value has been destroyed for existing holders.</t>
        </is>
      </c>
    </row>
    <row r="13" ht="14.55" customHeight="1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 ht="14.55" customHeight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The brand is a real intangible: ~380 Valhallas delivered at ~£1.15M ASP. It sells scarcity, not pricing power.</t>
        </is>
      </c>
    </row>
    <row r="15" outlineLevel="1" ht="14.55" customHeight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1</v>
      </c>
      <c r="F15" s="17">
        <f>D15*E15/4</f>
        <v/>
      </c>
      <c r="G15" s="18" t="inlineStr">
        <is>
          <t>Aged stock and dealer support say the brand is not holding price in the core range.</t>
        </is>
      </c>
    </row>
    <row r="16" ht="14.55" customHeight="1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 ht="14.55" customHeight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1</v>
      </c>
      <c r="F17" s="17">
        <f>D17*E17/4</f>
        <v/>
      </c>
      <c r="G17" s="18" t="inlineStr">
        <is>
          <t>Options are within the industry: specials (Valhalla) and the F1 association. No new market.</t>
        </is>
      </c>
    </row>
    <row r="18" outlineLevel="1" ht="14.55" customHeight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1</v>
      </c>
      <c r="F18" s="17">
        <f>D18*E18/4</f>
        <v/>
      </c>
      <c r="G18" s="20" t="inlineStr">
        <is>
          <t>Wholesales 5,448 units in FY2025 (catalog), with no sustained volume growth; revenue rests on specials timing.</t>
        </is>
      </c>
    </row>
    <row r="19" ht="14.55" customHeight="1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 ht="14.55" customHeight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1</v>
      </c>
      <c r="F20" s="17">
        <f>D20*E20/4</f>
        <v/>
      </c>
      <c r="G20" s="18" t="inlineStr">
        <is>
          <t>Stroll's Yew Tree consortium controls 33% with allied holders; the operating team is credible, the allocation record is not.</t>
        </is>
      </c>
    </row>
    <row r="21" outlineLevel="1" ht="14.55" customHeight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evidence for or against a distinctive culture beyond the brand heritage.</t>
        </is>
      </c>
    </row>
    <row r="22" ht="14.55" customHeight="1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 ht="14.55" customHeight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Price 34.5p vs Base IVO 29p: above intrinsic value, no margin of safety.</t>
        </is>
      </c>
    </row>
  </sheetData>
  <mergeCells count="1">
    <mergeCell ref="A1:F1"/>
  </mergeCells>
  <dataValidations count="1">
    <dataValidation sqref="E7:E23" showDropDown="0" showInputMessage="0" showErrorMessage="0" allowBlank="1" type="list">
      <formula1>"0,1,2,3,4,5"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Constellation Software</t>
        </is>
      </c>
    </row>
    <row r="3" ht="15.6" customHeight="1">
      <c r="A3" s="1" t="inlineStr">
        <is>
          <t>Ticker:</t>
        </is>
      </c>
      <c r="B3" s="2" t="inlineStr">
        <is>
          <t>CSU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Low recourse leverage: most debt sits without recourse to CSU at the operating groups; net debt/EBITDA 0.84x.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Vertical software with recurring maintenance revenue; high and stable gross economics.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2</v>
      </c>
      <c r="F10" s="17">
        <f>D10*E10/4</f>
        <v/>
      </c>
      <c r="G10" s="18" t="inlineStr">
        <is>
          <t>ROIC 12.1% latest (FiscalAI), diluted by acquisition goodwill.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4</v>
      </c>
      <c r="F11" s="17">
        <f>D11*E11/4</f>
        <v/>
      </c>
      <c r="G11" s="18" t="inlineStr">
        <is>
          <t>FCFA2S rose every year from $853M (FY2022) to $1,683M (FY2025), $2,030M LTM.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4</v>
      </c>
      <c r="F12" s="17">
        <f>D12*E12/4</f>
        <v/>
      </c>
      <c r="G12" s="18" t="inlineStr">
        <is>
          <t>FCFA2S per share $40.25 -&gt; $79.42 (FY2022-FY2025) without issuing shares, reinvested at stated hurdle rates.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Mission-critical software in niches too small for well-funded entrants; customers lost mainly to bankruptcy.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Decentralised model compounds; AI disruption of vertical software is the uncertainty.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Large acquisitions (Altera) are within the industry.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Organic growth 3% FX-adjusted in FY2025; maintenance +5% ex-Altera.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Founder Mark Leonard left in 2025-26; the post-founder era is unproven.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4</v>
      </c>
      <c r="F21" s="17">
        <f>D21*E21/4</f>
        <v/>
      </c>
      <c r="G21" s="18" t="inlineStr">
        <is>
          <t>Decentralised, owner-minded culture with published hurdle rates.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C$2,894.73 vs Base IVO C$4,240.80: 32% discount.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Pershing Square Holdings</t>
        </is>
      </c>
    </row>
    <row r="3" ht="15.6" customHeight="1">
      <c r="A3" s="1" t="inlineStr">
        <is>
          <t>Ticker:</t>
        </is>
      </c>
      <c r="B3" s="2" t="inlineStr">
        <is>
          <t>PSH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3</v>
      </c>
      <c r="F8" s="17">
        <f>D8*E8/4</f>
        <v/>
      </c>
      <c r="G8" s="18" t="inlineStr">
        <is>
          <t>Adapted for a fund: $3.6B of fixed-rate senior notes, 21.9% debt to total capital at 1H FY2026 against a 33% covenant, 3.6% average cost, no margin debt, ~94% Level 1 assets (the rest is the Howard Hughes preferred and SPARC); first maturity €500M in Oct 2027.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1</v>
      </c>
      <c r="F9" s="17">
        <f>D9*E9/4</f>
        <v/>
      </c>
      <c r="G9" s="18" t="inlineStr">
        <is>
          <t>Adapted to NAV total return vs S&amp;P 500: FY2023–FY2025 PSH 26.7% / 10.2% / 20.9% vs index 26.3% / 25.0% / 17.9% (cumulative +69% vs +86%), and 1H FY2026 −12.6% vs +10.2%.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3</v>
      </c>
      <c r="F10" s="17">
        <f>D10*E10/4</f>
        <v/>
      </c>
      <c r="G10" s="18" t="inlineStr">
        <is>
          <t>Adapted to NAV per share CAGR: $45.46 (FY2020) → $85.32 (FY2025) = 13.4% a year, above a ~10% required return, but 2026 YTD the NAV is down ~9% to $77.00.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Not meaningful as FCF; adapted to cash returned: FY2025 $371M of buybacks plus $118M of dividends = $489M (3.3% of year-end NAV), funded from portfolio sales and new bonds, not from operating cash flow.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Buybacks are clearly accretive ($2.0B since 2017 at an average $25.66 vs $77.00 NAV today); offset by $1.24B of new bonds in FY2025 and a $1.0B related-party Howard Hughes preferred in 1H FY2026.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3</v>
      </c>
      <c r="F14" s="17">
        <f>D14*E14/4</f>
        <v/>
      </c>
      <c r="G14" s="18" t="inlineStr">
        <is>
          <t>Look-through moats are strong (Visa/Mastercard, Microsoft, Amazon, S&amp;P Global, ICE, Alcon); PSH's own edge is permanent capital that cannot be redeemed, plus activist access, which does not show in returns that only match the index since 2020.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2</v>
      </c>
      <c r="F15" s="17">
        <f>D15*E15/4</f>
        <v/>
      </c>
      <c r="G15" s="18" t="inlineStr">
        <is>
          <t>Permanent capital is durable, but the strategy depends on one person: the bonds carry a key-man clause that forces deleveraging below 25% debt/capital if Ackman leaves, and the record since inception (12.5% CAGR) trails the S&amp;P 500 (15.2%).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2</v>
      </c>
      <c r="F17" s="17">
        <f>D17*E17/4</f>
        <v/>
      </c>
      <c r="G17" s="18" t="inlineStr">
        <is>
          <t>Options stay within investing: Fannie/Freddie release from conservatorship (both −40% YTD), Howard Hughes as a diversified holdco with Vantage insurance float, SPARC sponsor warrants carried at $38.7M.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2</v>
      </c>
      <c r="F18" s="17">
        <f>D18*E18/4</f>
        <v/>
      </c>
      <c r="G18" s="20" t="inlineStr">
        <is>
          <t>Adapted to NAV total return growth vs index: FY2021–FY2025 PSH 14.3% a year vs S&amp;P 500 14.4% — in line, not 2–3x the market.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Ackman runs it as an owner: he and affiliates hold ~26% of PSH shares (subject of the PS Inc. option) and pay full fees since the rebate ended in April 2026; conflicts with the listed manager (PS Inc.) and Howard Hughes, where he is executive chairman, keep it from 4.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Concentrated, research-driven team that publishes its reasoning and owned up to the 2015–2018 losses; the shift to 17 positions (from 8–12) and a heavier marketing push after the PS Inc. IPO are new and untested.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3</v>
      </c>
      <c r="F23" s="17">
        <f>D23*E23/4</f>
        <v/>
      </c>
      <c r="G23" s="18" t="inlineStr">
        <is>
          <t>Price £36.60 vs Base target £58.88: a 37.8% discount to the primary valuation (30–50% band).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Alphabet (idea)</t>
        </is>
      </c>
    </row>
    <row r="3" ht="15.6" customHeight="1">
      <c r="A3" s="1" t="inlineStr">
        <is>
          <t>Ticker:</t>
        </is>
      </c>
      <c r="B3" s="2" t="inlineStr">
        <is>
          <t>GOOG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4</v>
      </c>
      <c r="F8" s="17">
        <f>D8*E8/4</f>
        <v/>
      </c>
      <c r="G8" s="18" t="inlineStr">
        <is>
          <t>Net cash; never levered, even with the AI capex cycle.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4</v>
      </c>
      <c r="F9" s="17">
        <f>D9*E9/4</f>
        <v/>
      </c>
      <c r="G9" s="18" t="inlineStr">
        <is>
          <t>Gross margin 60.9%, top of its 3-year range.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4</v>
      </c>
      <c r="F10" s="17">
        <f>D10*E10/4</f>
        <v/>
      </c>
      <c r="G10" s="18" t="inlineStr">
        <is>
          <t>ROIC 26.4%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2</v>
      </c>
      <c r="F11" s="17">
        <f>D11*E11/4</f>
        <v/>
      </c>
      <c r="G11" s="18" t="inlineStr">
        <is>
          <t>OCF and FCF grew for six years; FCF yield 1.3% as AI capex doubled PP&amp;E.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3</v>
      </c>
      <c r="F12" s="17">
        <f>D12*E12/4</f>
        <v/>
      </c>
      <c r="G12" s="18" t="inlineStr">
        <is>
          <t>Buybacks and dividends funded from FCF; capex intensity now the main risk.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4</v>
      </c>
      <c r="F14" s="17">
        <f>D14*E14/4</f>
        <v/>
      </c>
      <c r="G14" s="18" t="inlineStr">
        <is>
          <t>Brands and IP, network effects (Search, YouTube, Android) and switching costs in Workspace.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3</v>
      </c>
      <c r="F15" s="17">
        <f>D15*E15/4</f>
        <v/>
      </c>
      <c r="G15" s="18" t="inlineStr">
        <is>
          <t>AI search is the threat to durability.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4</v>
      </c>
      <c r="F17" s="17">
        <f>D17*E17/4</f>
        <v/>
      </c>
      <c r="G17" s="18" t="inlineStr">
        <is>
          <t>Waymo, Cloud, quantum research: new industries.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3</v>
      </c>
      <c r="F18" s="17">
        <f>D18*E18/4</f>
        <v/>
      </c>
      <c r="G18" s="20" t="inlineStr">
        <is>
          <t>Revenue 3-year CAGR 12.5%, LTM +20.1%.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3</v>
      </c>
      <c r="F20" s="17">
        <f>D20*E20/4</f>
        <v/>
      </c>
      <c r="G20" s="18" t="inlineStr">
        <is>
          <t>Sundar Pichai since 2015; founders control the vote.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3</v>
      </c>
      <c r="F21" s="17">
        <f>D21*E21/4</f>
        <v/>
      </c>
      <c r="G21" s="18" t="inlineStr">
        <is>
          <t>Engineering culture.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2</v>
      </c>
      <c r="F23" s="17">
        <f>D23*E23/4</f>
        <v/>
      </c>
      <c r="G23" s="18" t="inlineStr">
        <is>
          <t>No valuation on file; carried from the old Amber traffic light.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Hims &amp; Hers Health (idea)</t>
        </is>
      </c>
    </row>
    <row r="3" ht="15.6" customHeight="1">
      <c r="A3" s="1" t="inlineStr">
        <is>
          <t>Ticker:</t>
        </is>
      </c>
      <c r="B3" s="2" t="inlineStr">
        <is>
          <t>HIMS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1</v>
      </c>
      <c r="F8" s="17">
        <f>D8*E8/4</f>
        <v/>
      </c>
      <c r="G8" s="18" t="inlineStr">
        <is>
          <t>Negative EBITDA and convertible debt.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68.4%, bottom of its 3-year range (68.4%-82.0%).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-9.6%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1</v>
      </c>
      <c r="F11" s="17">
        <f>D11*E11/4</f>
        <v/>
      </c>
      <c r="G11" s="18" t="inlineStr">
        <is>
          <t>FCF $57M-$200M, but negative after SBC since 2025.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Class V shares give the founder control; high CEO pay.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2</v>
      </c>
      <c r="F14" s="17">
        <f>D14*E14/4</f>
        <v/>
      </c>
      <c r="G14" s="18" t="inlineStr">
        <is>
          <t>Brand in stigmatised categories and generic-drug cost advantage.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1</v>
      </c>
      <c r="F15" s="17">
        <f>D15*E15/4</f>
        <v/>
      </c>
      <c r="G15" s="18" t="inlineStr">
        <is>
          <t>Low barriers; regulatory risk on compounded drugs.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3</v>
      </c>
      <c r="F17" s="17">
        <f>D17*E17/4</f>
        <v/>
      </c>
      <c r="G17" s="18" t="inlineStr">
        <is>
          <t>New categories (weight loss, labs).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4</v>
      </c>
      <c r="F18" s="17">
        <f>D18*E18/4</f>
        <v/>
      </c>
      <c r="G18" s="20" t="inlineStr">
        <is>
          <t>Revenue 3-year CAGR 64.5%, LTM +28.0%.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1</v>
      </c>
      <c r="F20" s="17">
        <f>D20*E20/4</f>
        <v/>
      </c>
      <c r="G20" s="18" t="inlineStr">
        <is>
          <t>Founder-controlled, governance concerns.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No valuation on file; carried from the old Red traffic light.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10" defaultColWidth="8.6640625" defaultRowHeight="14.4" outlineLevelRow="1"/>
  <cols>
    <col width="10.77734375" customWidth="1" min="1" max="1"/>
    <col width="50" customWidth="1" min="2" max="2"/>
    <col width="34.21875" customWidth="1" min="3" max="3"/>
    <col width="10.88671875" bestFit="1" customWidth="1" min="4" max="4"/>
    <col width="16.5546875" customWidth="1" min="5" max="5"/>
    <col width="10.77734375" customWidth="1" min="6" max="6"/>
    <col width="44.88671875" customWidth="1" min="7" max="7"/>
  </cols>
  <sheetData>
    <row r="1" ht="21" customHeight="1">
      <c r="A1" s="23" t="inlineStr">
        <is>
          <t>Quality Scorecard</t>
        </is>
      </c>
    </row>
    <row r="2">
      <c r="A2" s="1" t="inlineStr">
        <is>
          <t>Company:</t>
        </is>
      </c>
      <c r="B2" s="2" t="inlineStr">
        <is>
          <t>Nebius Group (idea)</t>
        </is>
      </c>
    </row>
    <row r="3" ht="15.6" customHeight="1">
      <c r="A3" s="1" t="inlineStr">
        <is>
          <t>Ticker:</t>
        </is>
      </c>
      <c r="B3" s="2" t="inlineStr">
        <is>
          <t>NBIS</t>
        </is>
      </c>
      <c r="E3" s="4" t="inlineStr">
        <is>
          <t>FINAL SCORE:</t>
        </is>
      </c>
      <c r="F3" s="5">
        <f>B4</f>
        <v/>
      </c>
    </row>
    <row r="4" ht="39.6" customHeight="1">
      <c r="A4" s="21" t="inlineStr">
        <is>
          <t>Quality Score (0–100):</t>
        </is>
      </c>
      <c r="B4" s="3">
        <f>+SUM(F8:F12,F14:F15,F17:F18,F20:F21,F23)</f>
        <v/>
      </c>
      <c r="E4" s="4" t="inlineStr">
        <is>
          <t>Weight sum</t>
        </is>
      </c>
      <c r="F4" s="6">
        <f>+D7+D13+D16+D19+D22</f>
        <v/>
      </c>
    </row>
    <row r="6" ht="25.8" customHeight="1">
      <c r="A6" s="7" t="inlineStr">
        <is>
          <t>#</t>
        </is>
      </c>
      <c r="B6" s="8" t="inlineStr">
        <is>
          <t>Criteria</t>
        </is>
      </c>
      <c r="C6" s="8" t="inlineStr">
        <is>
          <t>How to score (0 | 2 | 4)</t>
        </is>
      </c>
      <c r="D6" s="7" t="inlineStr">
        <is>
          <t>Weight (%)</t>
        </is>
      </c>
      <c r="E6" s="7" t="inlineStr">
        <is>
          <t>Rating 0–4</t>
        </is>
      </c>
      <c r="F6" s="7" t="inlineStr">
        <is>
          <t>Points</t>
        </is>
      </c>
      <c r="G6" s="7" t="inlineStr">
        <is>
          <t>Reasons</t>
        </is>
      </c>
    </row>
    <row r="7">
      <c r="A7" s="9" t="inlineStr">
        <is>
          <t>STRENGTH</t>
        </is>
      </c>
      <c r="B7" s="9" t="n"/>
      <c r="C7" s="9" t="n"/>
      <c r="D7" s="10" t="n">
        <v>15</v>
      </c>
      <c r="E7" s="11">
        <f>+SUM(E8:E12)</f>
        <v/>
      </c>
      <c r="F7" s="12">
        <f>+SUM(F8:F12)</f>
        <v/>
      </c>
      <c r="G7" s="9" t="n"/>
    </row>
    <row r="8" outlineLevel="1" ht="22.8" customHeight="1">
      <c r="A8" s="13" t="n">
        <v>1</v>
      </c>
      <c r="B8" s="14" t="inlineStr">
        <is>
          <t>Financial resilience</t>
        </is>
      </c>
      <c r="C8" s="15" t="inlineStr">
        <is>
          <t>Liquidity stressed | In line with peers | Net cash, healthy ratios</t>
        </is>
      </c>
      <c r="D8" s="6">
        <f>+$D$7/COUNTA($A$8:$A$12)</f>
        <v/>
      </c>
      <c r="E8" s="16" t="n">
        <v>1</v>
      </c>
      <c r="F8" s="17">
        <f>D8*E8/4</f>
        <v/>
      </c>
      <c r="G8" s="18" t="inlineStr">
        <is>
          <t>$8.1B of ~$8.5B debt is convertible; customer prepayments fund the build-out.</t>
        </is>
      </c>
    </row>
    <row r="9" outlineLevel="1" ht="22.8" customHeight="1">
      <c r="A9" s="19" t="n">
        <v>2</v>
      </c>
      <c r="B9" s="14" t="inlineStr">
        <is>
          <t>Gross margin</t>
        </is>
      </c>
      <c r="C9" s="15" t="inlineStr">
        <is>
          <t>Below peers, falling | In line, stable | Top of peers, rising</t>
        </is>
      </c>
      <c r="D9" s="6">
        <f>+$D$7/COUNTA($A$8:$A$12)</f>
        <v/>
      </c>
      <c r="E9" s="16" t="n">
        <v>3</v>
      </c>
      <c r="F9" s="17">
        <f>D9*E9/4</f>
        <v/>
      </c>
      <c r="G9" s="18" t="inlineStr">
        <is>
          <t>Gross margin 74.3%.</t>
        </is>
      </c>
    </row>
    <row r="10" outlineLevel="1" ht="22.8" customHeight="1">
      <c r="A10" s="13" t="n">
        <v>3</v>
      </c>
      <c r="B10" s="14" t="inlineStr">
        <is>
          <t>Returns on capital (ROIC/ROCE)</t>
        </is>
      </c>
      <c r="C10" s="15" t="inlineStr">
        <is>
          <t>Below req. return | Around req., stable | Well above req., rising</t>
        </is>
      </c>
      <c r="D10" s="6">
        <f>+$D$7/COUNTA($A$8:$A$12)</f>
        <v/>
      </c>
      <c r="E10" s="16" t="n">
        <v>0</v>
      </c>
      <c r="F10" s="17">
        <f>D10*E10/4</f>
        <v/>
      </c>
      <c r="G10" s="18" t="inlineStr">
        <is>
          <t>ROIC -5.3% latest (FiscalAI).</t>
        </is>
      </c>
    </row>
    <row r="11" outlineLevel="1" ht="22.8" customHeight="1">
      <c r="A11" s="13" t="n">
        <v>4</v>
      </c>
      <c r="B11" s="14" t="inlineStr">
        <is>
          <t>Free cash flow</t>
        </is>
      </c>
      <c r="C11" s="15" t="inlineStr">
        <is>
          <t>Cash burn | Moderate conversion | Strong, growing FCF</t>
        </is>
      </c>
      <c r="D11" s="6">
        <f>+$D$7/COUNTA($A$8:$A$12)</f>
        <v/>
      </c>
      <c r="E11" s="16" t="n">
        <v>0</v>
      </c>
      <c r="F11" s="17">
        <f>D11*E11/4</f>
        <v/>
      </c>
      <c r="G11" s="18" t="inlineStr">
        <is>
          <t>Capex exceeds operating cash flow; the gap is funded with debt.</t>
        </is>
      </c>
    </row>
    <row r="12" outlineLevel="1" ht="22.8" customHeight="1">
      <c r="A12" s="13" t="n">
        <v>5</v>
      </c>
      <c r="B12" s="14" t="inlineStr">
        <is>
          <t>Capital Allocation</t>
        </is>
      </c>
      <c r="C12" s="15" t="inlineStr">
        <is>
          <t>Destroys value | Neutral / mixed | Clear value creator</t>
        </is>
      </c>
      <c r="D12" s="6">
        <f>+$D$7/COUNTA($A$8:$A$12)</f>
        <v/>
      </c>
      <c r="E12" s="16" t="n">
        <v>1</v>
      </c>
      <c r="F12" s="17">
        <f>D12*E12/4</f>
        <v/>
      </c>
      <c r="G12" s="18" t="inlineStr">
        <is>
          <t>Debt-funded AI data-center build-out; returns unproven.</t>
        </is>
      </c>
    </row>
    <row r="13">
      <c r="A13" s="9" t="inlineStr">
        <is>
          <t>MOAT</t>
        </is>
      </c>
      <c r="B13" s="9" t="n"/>
      <c r="C13" s="22" t="n"/>
      <c r="D13" s="10" t="n">
        <v>25</v>
      </c>
      <c r="E13" s="11">
        <f>+SUM(E14:E15)</f>
        <v/>
      </c>
      <c r="F13" s="12">
        <f>+SUM(F14:F15)</f>
        <v/>
      </c>
      <c r="G13" s="9" t="n"/>
    </row>
    <row r="14" outlineLevel="1">
      <c r="A14" s="13" t="n">
        <v>6</v>
      </c>
      <c r="B14" s="14" t="inlineStr">
        <is>
          <t>Strength</t>
        </is>
      </c>
      <c r="C14" s="15" t="inlineStr">
        <is>
          <t>Weak | Uncertain | Strong</t>
        </is>
      </c>
      <c r="D14" s="6">
        <f>+$D$13/COUNTA($A$14:$A$15)</f>
        <v/>
      </c>
      <c r="E14" s="16" t="n">
        <v>1</v>
      </c>
      <c r="F14" s="17">
        <f>D14*E14/4</f>
        <v/>
      </c>
      <c r="G14" s="18" t="inlineStr">
        <is>
          <t>Cost advantage is temporary; switching costs depend on the software layer.</t>
        </is>
      </c>
    </row>
    <row r="15" outlineLevel="1">
      <c r="A15" s="13" t="n">
        <v>7</v>
      </c>
      <c r="B15" s="14" t="inlineStr">
        <is>
          <t>Durability</t>
        </is>
      </c>
      <c r="C15" s="15" t="inlineStr">
        <is>
          <t>Eroding | Uncertain | Durable</t>
        </is>
      </c>
      <c r="D15" s="6">
        <f>+$D$13/COUNTA($A$14:$A$15)</f>
        <v/>
      </c>
      <c r="E15" s="16" t="n">
        <v>1</v>
      </c>
      <c r="F15" s="17">
        <f>D15*E15/4</f>
        <v/>
      </c>
      <c r="G15" s="18" t="inlineStr">
        <is>
          <t>Uncertain.</t>
        </is>
      </c>
    </row>
    <row r="16">
      <c r="A16" s="9" t="inlineStr">
        <is>
          <t>POTENTIAL</t>
        </is>
      </c>
      <c r="B16" s="9" t="n"/>
      <c r="C16" s="22" t="n"/>
      <c r="D16" s="10" t="n">
        <v>15</v>
      </c>
      <c r="E16" s="11">
        <f>+SUM(E17:E18)</f>
        <v/>
      </c>
      <c r="F16" s="12">
        <f>+SUM(F17:F18)</f>
        <v/>
      </c>
      <c r="G16" s="9" t="n"/>
    </row>
    <row r="17" outlineLevel="1">
      <c r="A17" s="13" t="n">
        <v>8</v>
      </c>
      <c r="B17" s="14" t="inlineStr">
        <is>
          <t>Optionality</t>
        </is>
      </c>
      <c r="C17" s="15" t="inlineStr">
        <is>
          <t>None | Within industry | New industry</t>
        </is>
      </c>
      <c r="D17" s="6">
        <f>+$D$16/COUNTA($A$17:$A$18)</f>
        <v/>
      </c>
      <c r="E17" s="16" t="n">
        <v>3</v>
      </c>
      <c r="F17" s="17">
        <f>D17*E17/4</f>
        <v/>
      </c>
      <c r="G17" s="18" t="inlineStr">
        <is>
          <t>AI infrastructure is a new industry for the company.</t>
        </is>
      </c>
    </row>
    <row r="18" outlineLevel="1">
      <c r="A18" s="13" t="n">
        <v>9</v>
      </c>
      <c r="B18" s="14" t="inlineStr">
        <is>
          <t>Organic growth</t>
        </is>
      </c>
      <c r="C18" s="15" t="inlineStr">
        <is>
          <t>Declining | 2–3x industry | 15%+ sustainable</t>
        </is>
      </c>
      <c r="D18" s="6">
        <f>+$D$16/COUNTA($A$17:$A$18)</f>
        <v/>
      </c>
      <c r="E18" s="16" t="n">
        <v>4</v>
      </c>
      <c r="F18" s="17">
        <f>D18*E18/4</f>
        <v/>
      </c>
      <c r="G18" s="20" t="inlineStr">
        <is>
          <t>Revenue LTM +443.6%.</t>
        </is>
      </c>
    </row>
    <row r="19">
      <c r="A19" s="9" t="inlineStr">
        <is>
          <t>CULTURE</t>
        </is>
      </c>
      <c r="B19" s="9" t="n"/>
      <c r="C19" s="22" t="n"/>
      <c r="D19" s="10" t="n">
        <v>25</v>
      </c>
      <c r="E19" s="11">
        <f>+SUM(E20:E21)</f>
        <v/>
      </c>
      <c r="F19" s="12">
        <f>+SUM(F20:F21)</f>
        <v/>
      </c>
      <c r="G19" s="9" t="n"/>
    </row>
    <row r="20" outlineLevel="1">
      <c r="A20" s="13" t="n">
        <v>10</v>
      </c>
      <c r="B20" s="14" t="inlineStr">
        <is>
          <t>Leadership</t>
        </is>
      </c>
      <c r="C20" s="15" t="inlineStr">
        <is>
          <t>Misaligned | Competent | Owner-operator</t>
        </is>
      </c>
      <c r="D20" s="6">
        <f>+$D$19/COUNTA($A$20:$A$21)</f>
        <v/>
      </c>
      <c r="E20" s="16" t="n">
        <v>2</v>
      </c>
      <c r="F20" s="17">
        <f>D20*E20/4</f>
        <v/>
      </c>
      <c r="G20" s="18" t="inlineStr">
        <is>
          <t>Not assessed in the old scorecard.</t>
        </is>
      </c>
    </row>
    <row r="21" outlineLevel="1">
      <c r="A21" s="13" t="n">
        <v>11</v>
      </c>
      <c r="B21" s="14" t="inlineStr">
        <is>
          <t>Culture</t>
        </is>
      </c>
      <c r="C21" s="15" t="inlineStr">
        <is>
          <t>Weak | Average | Strong, mission-driven</t>
        </is>
      </c>
      <c r="D21" s="6">
        <f>+$D$19/COUNTA($A$20:$A$21)</f>
        <v/>
      </c>
      <c r="E21" s="16" t="n">
        <v>2</v>
      </c>
      <c r="F21" s="17">
        <f>D21*E21/4</f>
        <v/>
      </c>
      <c r="G21" s="18" t="inlineStr">
        <is>
          <t>No hard evidence either way.</t>
        </is>
      </c>
    </row>
    <row r="22">
      <c r="A22" s="9" t="inlineStr">
        <is>
          <t>MARGIN OF SAFETY</t>
        </is>
      </c>
      <c r="B22" s="9" t="n"/>
      <c r="C22" s="22" t="n"/>
      <c r="D22" s="10" t="n">
        <v>20</v>
      </c>
      <c r="E22" s="11">
        <f>+E23</f>
        <v/>
      </c>
      <c r="F22" s="12">
        <f>+F23</f>
        <v/>
      </c>
      <c r="G22" s="9" t="n"/>
    </row>
    <row r="23" outlineLevel="1">
      <c r="A23" s="13" t="n">
        <v>12</v>
      </c>
      <c r="B23" s="14" t="inlineStr">
        <is>
          <t>Margin of safety</t>
        </is>
      </c>
      <c r="C23" s="15" t="inlineStr">
        <is>
          <t>Expensive | Fair | Deep discount</t>
        </is>
      </c>
      <c r="D23" s="6">
        <f>+$D$22/COUNTA($A$23)</f>
        <v/>
      </c>
      <c r="E23" s="16" t="n">
        <v>0</v>
      </c>
      <c r="F23" s="17">
        <f>D23*E23/4</f>
        <v/>
      </c>
      <c r="G23" s="18" t="inlineStr">
        <is>
          <t>No valuation on file; carried from the old Red traffic light.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Omaha Inversiones</dc:creator>
  <dcterms:created xmlns:dcterms="http://purl.org/dc/terms/" xmlns:xsi="http://www.w3.org/2001/XMLSchema-instance" xsi:type="dcterms:W3CDTF">2026-09-24T20:56:02Z</dcterms:created>
  <dcterms:modified xmlns:dcterms="http://purl.org/dc/terms/" xmlns:xsi="http://www.w3.org/2001/XMLSchema-instance" xsi:type="dcterms:W3CDTF">2026-10-02T14:59:41Z</dcterms:modified>
  <cp:lastModifiedBy>Omaha Inversiones</cp:lastModifiedBy>
</cp:coreProperties>
</file>